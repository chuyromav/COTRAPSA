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aura/Desktop/COTRAPSA/"/>
    </mc:Choice>
  </mc:AlternateContent>
  <xr:revisionPtr revIDLastSave="0" documentId="13_ncr:1_{7FF3FC7E-8714-DA4A-897F-0D3A0FE767F8}" xr6:coauthVersionLast="36" xr6:coauthVersionMax="36" xr10:uidLastSave="{00000000-0000-0000-0000-000000000000}"/>
  <bookViews>
    <workbookView xWindow="0" yWindow="460" windowWidth="27320" windowHeight="13700" xr2:uid="{00000000-000D-0000-FFFF-FFFF00000000}"/>
  </bookViews>
  <sheets>
    <sheet name="Hoja de datos" sheetId="1" r:id="rId1"/>
    <sheet name="Porcentaje venta x cliente" sheetId="5" r:id="rId2"/>
    <sheet name="Metodos de pago" sheetId="6" r:id="rId3"/>
    <sheet name="Facturas emitidas" sheetId="7" r:id="rId4"/>
    <sheet name="Graficos Facturas emitidas" sheetId="8" r:id="rId5"/>
  </sheets>
  <definedNames>
    <definedName name="_xlnm._FilterDatabase" localSheetId="0" hidden="1">'Hoja de datos'!$A$1:$I$1410</definedName>
  </definedNames>
  <calcPr calcId="181029"/>
  <pivotCaches>
    <pivotCache cacheId="0" r:id="rId6"/>
    <pivotCache cacheId="5" r:id="rId7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284" i="7" l="1"/>
  <c r="G1284" i="7"/>
  <c r="D23" i="6"/>
  <c r="D22" i="6"/>
  <c r="D21" i="6"/>
  <c r="C22" i="6"/>
  <c r="B23" i="6"/>
  <c r="B19" i="6"/>
  <c r="C21" i="6"/>
  <c r="B22" i="6"/>
  <c r="D19" i="6"/>
  <c r="C20" i="6"/>
  <c r="B21" i="6"/>
  <c r="C23" i="6"/>
  <c r="B20" i="6"/>
  <c r="D20" i="6"/>
  <c r="C19" i="6"/>
</calcChain>
</file>

<file path=xl/sharedStrings.xml><?xml version="1.0" encoding="utf-8"?>
<sst xmlns="http://schemas.openxmlformats.org/spreadsheetml/2006/main" count="7806" uniqueCount="81">
  <si>
    <t>Nombre</t>
  </si>
  <si>
    <t>Estatus</t>
  </si>
  <si>
    <t>Fecha_de_elabor</t>
  </si>
  <si>
    <t>Fecha_de_entr</t>
  </si>
  <si>
    <t>Fecha_de_p</t>
  </si>
  <si>
    <t>Fecha_de_cance</t>
  </si>
  <si>
    <t>Subtotal</t>
  </si>
  <si>
    <t>Importe</t>
  </si>
  <si>
    <t>Método_pago</t>
  </si>
  <si>
    <t>BULKMATIC DE MEXICO, S. DE R.L. DE C.V.</t>
  </si>
  <si>
    <t>Emitida</t>
  </si>
  <si>
    <t>PPD</t>
  </si>
  <si>
    <t>BRANDES INTERNATIONAL CO.</t>
  </si>
  <si>
    <t>COMERCIALIZADORA SUDIMEX, S. DE R. L. DE C.V.</t>
  </si>
  <si>
    <t>Cancela</t>
  </si>
  <si>
    <t>INDUSTRIAS MAVAEN S.A. DE C.V.</t>
  </si>
  <si>
    <t>JEBOL MEXICO SA DE C V</t>
  </si>
  <si>
    <t>TRANSPORTADORA ALPURA S.A.P.I. DE C.V.</t>
  </si>
  <si>
    <t>BIMBO, S.A. DE C.V.</t>
  </si>
  <si>
    <t>BARCEL S.A. DE C.V.</t>
  </si>
  <si>
    <t>REMOLQUES Y CARROCERIAS CRUZ, S.A. DE C.V.</t>
  </si>
  <si>
    <t>GRANPORTUARIA SERVICIOS DEDICADOS SA  DE  C V</t>
  </si>
  <si>
    <t>UTILITY TRAILERS DE MEXICO,  S.A.P.I.  DE C.V.</t>
  </si>
  <si>
    <t>PRAXAIR MEXICO, S. DE R.L. DE C.V.</t>
  </si>
  <si>
    <t>ESPECIALIZADOS EN REMOLQUES Y CARROCERIAS M</t>
  </si>
  <si>
    <t>OMAR RODRIGO BRAMBILA TAMARIZ</t>
  </si>
  <si>
    <t>TALLERES ZUBIRIA S.A. DE C.V.</t>
  </si>
  <si>
    <t>MECANICA TEK S.A. DE C.V.</t>
  </si>
  <si>
    <t>METRICA MOVIL S.A. DE C.V.</t>
  </si>
  <si>
    <t>Devuelta</t>
  </si>
  <si>
    <t>AIRIBUZ S.A. DE C.V-</t>
  </si>
  <si>
    <t>FRUEHAUF DE MEXICO, S.A. DE C.V.</t>
  </si>
  <si>
    <t>TRAILERS Y EQUIPO ALIADO, S.A. DE C.V.</t>
  </si>
  <si>
    <t>GRUPO INDUSTRIAL DAVASA, S.A. DE C.V.</t>
  </si>
  <si>
    <t>OPERBUS, S.A. DE C.V.</t>
  </si>
  <si>
    <t>00:00:00</t>
  </si>
  <si>
    <t>FLETES HESA, S.A. DE C.V.</t>
  </si>
  <si>
    <t>NITROPET, S.A. DE C.V.</t>
  </si>
  <si>
    <t>PUE</t>
  </si>
  <si>
    <t>SERVICIOS TRACTOMOTRICES, S.A. DE C.V.</t>
  </si>
  <si>
    <t>INDUSTRIAS Y MANUFACTURAS MUÑOZ, S.A. DE C.V.</t>
  </si>
  <si>
    <t>MUNDO GLOBAL DE REMOLQUES, S.A. DE C.V.</t>
  </si>
  <si>
    <t>AMERICAN SMARTRUCKS, S.A. DE C.V.</t>
  </si>
  <si>
    <t>ARTÍCULOS INDUSTRIALES VADE, S.DE R.L. DE C.V.</t>
  </si>
  <si>
    <t>CAMIONERA CATOSA S.A. DE C.V.</t>
  </si>
  <si>
    <t>INSPECCION Y CRIOGENIA ICSA, S.A. DE C.V.</t>
  </si>
  <si>
    <t>ZAPATA CAMIONES, S.A. DE C.V.</t>
  </si>
  <si>
    <t>TRANSFE</t>
  </si>
  <si>
    <t>EXA INDUSTRIAL S.A. DE C.V.</t>
  </si>
  <si>
    <t>TRAYLFER S.A. C.V.</t>
  </si>
  <si>
    <t>CESAR SUAREZ ALCANTARA</t>
  </si>
  <si>
    <t>PAULO CESAR RUIZ CRUCES</t>
  </si>
  <si>
    <t>RAUL GARCIA DE LOS ANGELES</t>
  </si>
  <si>
    <t>TRANSPORTES GARCIAS TRUCKING, S.A. DE C.V.</t>
  </si>
  <si>
    <t>ENTORNO INDUSTRIAL, S.A. DE C.V.</t>
  </si>
  <si>
    <t>STOUGHTON REFACCIONES Y SERVICIO MEXICO, S.A.</t>
  </si>
  <si>
    <t>03 TRANS</t>
  </si>
  <si>
    <t>COMERCIALIZADORA DE REMOLQUES COREM S.A. DE</t>
  </si>
  <si>
    <t>99 OTROS</t>
  </si>
  <si>
    <t>MARTHA ELENA MENDOZA MEDINA</t>
  </si>
  <si>
    <t>01 EFECTI</t>
  </si>
  <si>
    <t>PEDRO MORALES CERVANTES</t>
  </si>
  <si>
    <t>02 CHEQU</t>
  </si>
  <si>
    <t>TRANSPORTES MONROY SCHIAVON S.A. DE C.V.</t>
  </si>
  <si>
    <t>GERARDO MARTINEZ SEGURA</t>
  </si>
  <si>
    <t>VALENTIN PATIÑO BARRIGA</t>
  </si>
  <si>
    <t>ANGEL FLORES ARAUJO</t>
  </si>
  <si>
    <t>TRANSPORTADORA EGOBA S.A. DE C.V.</t>
  </si>
  <si>
    <t>VIOLETA MORA HERNANDEZ</t>
  </si>
  <si>
    <t>DE LA LUZ TRAILERS S.A. DE C.V.</t>
  </si>
  <si>
    <t>ELVIA AVILES BATREZ</t>
  </si>
  <si>
    <t>REFACCIONARIA Y SERVICIOS DEL NORTE, S.A. DE C.V</t>
  </si>
  <si>
    <t>ALEJANDRO CHAVEZ GONZALEZ</t>
  </si>
  <si>
    <t>CORPORATIVO MACRO DIESEL, S.A. DE C.V.</t>
  </si>
  <si>
    <t>Etiquetas de fila</t>
  </si>
  <si>
    <t>Total general</t>
  </si>
  <si>
    <t>Suma de Importe</t>
  </si>
  <si>
    <t>(vacío)</t>
  </si>
  <si>
    <t>Cuenta de Método_pago</t>
  </si>
  <si>
    <t>Cuenta de Método_pago2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</si>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</sst>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2" xfId="0" applyFont="1" applyFill="1" applyBorder="1"/>
    <xf numFmtId="10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DC9A-0E4A-B585-2FEEC9BA13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DC9A-0E4A-B585-2FEEC9BA13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DC9A-0E4A-B585-2FEEC9BA139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DC9A-0E4A-B585-2FEEC9BA139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C9A-0E4A-B585-2FEEC9BA139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C9A-0E4A-B585-2FEEC9BA139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C9A-0E4A-B585-2FEEC9BA139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C9A-0E4A-B585-2FEEC9BA139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DC9A-0E4A-B585-2FEEC9BA139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DC9A-0E4A-B585-2FEEC9BA139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DC9A-0E4A-B585-2FEEC9BA139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DC9A-0E4A-B585-2FEEC9BA139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DC9A-0E4A-B585-2FEEC9BA139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DC9A-0E4A-B585-2FEEC9BA139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DC9A-0E4A-B585-2FEEC9BA139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DC9A-0E4A-B585-2FEEC9BA139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DC9A-0E4A-B585-2FEEC9BA139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DC9A-0E4A-B585-2FEEC9BA139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DC9A-0E4A-B585-2FEEC9BA139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DC9A-0E4A-B585-2FEEC9BA139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DC9A-0E4A-B585-2FEEC9BA139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DC9A-0E4A-B585-2FEEC9BA139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DC9A-0E4A-B585-2FEEC9BA139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DC9A-0E4A-B585-2FEEC9BA139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DC9A-0E4A-B585-2FEEC9BA139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DC9A-0E4A-B585-2FEEC9BA139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DC9A-0E4A-B585-2FEEC9BA139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DC9A-0E4A-B585-2FEEC9BA139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DC9A-0E4A-B585-2FEEC9BA139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DC9A-0E4A-B585-2FEEC9BA139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DC9A-0E4A-B585-2FEEC9BA139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DC9A-0E4A-B585-2FEEC9BA139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DC9A-0E4A-B585-2FEEC9BA139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DC9A-0E4A-B585-2FEEC9BA139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DC9A-0E4A-B585-2FEEC9BA139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DC9A-0E4A-B585-2FEEC9BA139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DC9A-0E4A-B585-2FEEC9BA139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DC9A-0E4A-B585-2FEEC9BA139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DC9A-0E4A-B585-2FEEC9BA139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DC9A-0E4A-B585-2FEEC9BA139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DC9A-0E4A-B585-2FEEC9BA139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DC9A-0E4A-B585-2FEEC9BA139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DC9A-0E4A-B585-2FEEC9BA139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DC9A-0E4A-B585-2FEEC9BA139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DC9A-0E4A-B585-2FEEC9BA139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DC9A-0E4A-B585-2FEEC9BA139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DC9A-0E4A-B585-2FEEC9BA139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DC9A-0E4A-B585-2FEEC9BA139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DC9A-0E4A-B585-2FEEC9BA139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DC9A-0E4A-B585-2FEEC9BA139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DC9A-0E4A-B585-2FEEC9BA139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DC9A-0E4A-B585-2FEEC9BA139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DC9A-0E4A-B585-2FEEC9BA139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DC9A-0E4A-B585-2FEEC9BA139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DC9A-0E4A-B585-2FEEC9BA139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'Porcentaje venta x cliente'!$A$4:$A$58</c:f>
              <c:strCache>
                <c:ptCount val="55"/>
                <c:pt idx="0">
                  <c:v>AIRIBUZ S.A. DE C.V-</c:v>
                </c:pt>
                <c:pt idx="1">
                  <c:v>ALEJANDRO CHAVEZ GONZALEZ</c:v>
                </c:pt>
                <c:pt idx="2">
                  <c:v>AMERICAN SMARTRUCKS, S.A. DE C.V.</c:v>
                </c:pt>
                <c:pt idx="3">
                  <c:v>ANGEL FLORES ARAUJO</c:v>
                </c:pt>
                <c:pt idx="4">
                  <c:v>ARTÍCULOS INDUSTRIALES VADE, S.DE R.L. DE C.V.</c:v>
                </c:pt>
                <c:pt idx="5">
                  <c:v>BARCEL S.A. DE C.V.</c:v>
                </c:pt>
                <c:pt idx="6">
                  <c:v>BIMBO, S.A. DE C.V.</c:v>
                </c:pt>
                <c:pt idx="7">
                  <c:v>BRANDES INTERNATIONAL CO.</c:v>
                </c:pt>
                <c:pt idx="8">
                  <c:v>BULKMATIC DE MEXICO, S. DE R.L. DE C.V.</c:v>
                </c:pt>
                <c:pt idx="9">
                  <c:v>CAMIONERA CATOSA S.A. DE C.V.</c:v>
                </c:pt>
                <c:pt idx="10">
                  <c:v>CESAR SUAREZ ALCANTARA</c:v>
                </c:pt>
                <c:pt idx="11">
                  <c:v>COMERCIALIZADORA DE REMOLQUES COREM S.A. DE</c:v>
                </c:pt>
                <c:pt idx="12">
                  <c:v>COMERCIALIZADORA SUDIMEX, S. DE R. L. DE C.V.</c:v>
                </c:pt>
                <c:pt idx="13">
                  <c:v>CORPORATIVO MACRO DIESEL, S.A. DE C.V.</c:v>
                </c:pt>
                <c:pt idx="14">
                  <c:v>DE LA LUZ TRAILERS S.A. DE C.V.</c:v>
                </c:pt>
                <c:pt idx="15">
                  <c:v>ELVIA AVILES BATREZ</c:v>
                </c:pt>
                <c:pt idx="16">
                  <c:v>ENTORNO INDUSTRIAL, S.A. DE C.V.</c:v>
                </c:pt>
                <c:pt idx="17">
                  <c:v>ESPECIALIZADOS EN REMOLQUES Y CARROCERIAS M</c:v>
                </c:pt>
                <c:pt idx="18">
                  <c:v>EXA INDUSTRIAL S.A. DE C.V.</c:v>
                </c:pt>
                <c:pt idx="19">
                  <c:v>FLETES HESA, S.A. DE C.V.</c:v>
                </c:pt>
                <c:pt idx="20">
                  <c:v>FRUEHAUF DE MEXICO, S.A. DE C.V.</c:v>
                </c:pt>
                <c:pt idx="21">
                  <c:v>GERARDO MARTINEZ SEGURA</c:v>
                </c:pt>
                <c:pt idx="22">
                  <c:v>GRANPORTUARIA SERVICIOS DEDICADOS SA  DE  C V</c:v>
                </c:pt>
                <c:pt idx="23">
                  <c:v>GRUPO INDUSTRIAL DAVASA, S.A. DE C.V.</c:v>
                </c:pt>
                <c:pt idx="24">
                  <c:v>INDUSTRIAS MAVAEN S.A. DE C.V.</c:v>
                </c:pt>
                <c:pt idx="25">
                  <c:v>INDUSTRIAS Y MANUFACTURAS MUÑOZ, S.A. DE C.V.</c:v>
                </c:pt>
                <c:pt idx="26">
                  <c:v>INSPECCION Y CRIOGENIA ICSA, S.A. DE C.V.</c:v>
                </c:pt>
                <c:pt idx="27">
                  <c:v>JEBOL MEXICO SA DE C V</c:v>
                </c:pt>
                <c:pt idx="28">
                  <c:v>MARTHA ELENA MENDOZA MEDINA</c:v>
                </c:pt>
                <c:pt idx="29">
                  <c:v>MECANICA TEK S.A. DE C.V.</c:v>
                </c:pt>
                <c:pt idx="30">
                  <c:v>METRICA MOVIL S.A. DE C.V.</c:v>
                </c:pt>
                <c:pt idx="31">
                  <c:v>MUNDO GLOBAL DE REMOLQUES, S.A. DE C.V.</c:v>
                </c:pt>
                <c:pt idx="32">
                  <c:v>NITROPET, S.A. DE C.V.</c:v>
                </c:pt>
                <c:pt idx="33">
                  <c:v>OMAR RODRIGO BRAMBILA TAMARIZ</c:v>
                </c:pt>
                <c:pt idx="34">
                  <c:v>OPERBUS, S.A. DE C.V.</c:v>
                </c:pt>
                <c:pt idx="35">
                  <c:v>PAULO CESAR RUIZ CRUCES</c:v>
                </c:pt>
                <c:pt idx="36">
                  <c:v>PEDRO MORALES CERVANTES</c:v>
                </c:pt>
                <c:pt idx="37">
                  <c:v>PRAXAIR MEXICO, S. DE R.L. DE C.V.</c:v>
                </c:pt>
                <c:pt idx="38">
                  <c:v>RAUL GARCIA DE LOS ANGELES</c:v>
                </c:pt>
                <c:pt idx="39">
                  <c:v>REFACCIONARIA Y SERVICIOS DEL NORTE, S.A. DE C.V</c:v>
                </c:pt>
                <c:pt idx="40">
                  <c:v>REMOLQUES Y CARROCERIAS CRUZ, S.A. DE C.V.</c:v>
                </c:pt>
                <c:pt idx="41">
                  <c:v>SERVICIOS TRACTOMOTRICES, S.A. DE C.V.</c:v>
                </c:pt>
                <c:pt idx="42">
                  <c:v>STOUGHTON REFACCIONES Y SERVICIO MEXICO, S.A.</c:v>
                </c:pt>
                <c:pt idx="43">
                  <c:v>TALLERES ZUBIRIA S.A. DE C.V.</c:v>
                </c:pt>
                <c:pt idx="44">
                  <c:v>TRAILERS Y EQUIPO ALIADO, S.A. DE C.V.</c:v>
                </c:pt>
                <c:pt idx="45">
                  <c:v>TRANSPORTADORA ALPURA S.A.P.I. DE C.V.</c:v>
                </c:pt>
                <c:pt idx="46">
                  <c:v>TRANSPORTADORA EGOBA S.A. DE C.V.</c:v>
                </c:pt>
                <c:pt idx="47">
                  <c:v>TRANSPORTES GARCIAS TRUCKING, S.A. DE C.V.</c:v>
                </c:pt>
                <c:pt idx="48">
                  <c:v>TRANSPORTES MONROY SCHIAVON S.A. DE C.V.</c:v>
                </c:pt>
                <c:pt idx="49">
                  <c:v>TRAYLFER S.A. C.V.</c:v>
                </c:pt>
                <c:pt idx="50">
                  <c:v>UTILITY TRAILERS DE MEXICO,  S.A.P.I.  DE C.V.</c:v>
                </c:pt>
                <c:pt idx="51">
                  <c:v>VALENTIN PATIÑO BARRIGA</c:v>
                </c:pt>
                <c:pt idx="52">
                  <c:v>VIOLETA MORA HERNANDEZ</c:v>
                </c:pt>
                <c:pt idx="53">
                  <c:v>ZAPATA CAMIONES, S.A. DE C.V.</c:v>
                </c:pt>
                <c:pt idx="54">
                  <c:v>(vacío)</c:v>
                </c:pt>
              </c:strCache>
            </c:strRef>
          </c:cat>
          <c:val>
            <c:numRef>
              <c:f>'Porcentaje venta x cliente'!$B$4:$B$58</c:f>
              <c:numCache>
                <c:formatCode>0.00%</c:formatCode>
                <c:ptCount val="55"/>
                <c:pt idx="0">
                  <c:v>1.7017312501167663E-4</c:v>
                </c:pt>
                <c:pt idx="1">
                  <c:v>9.6284039717419714E-4</c:v>
                </c:pt>
                <c:pt idx="2">
                  <c:v>5.1922059936504851E-4</c:v>
                </c:pt>
                <c:pt idx="3">
                  <c:v>1.5926093384370239E-4</c:v>
                </c:pt>
                <c:pt idx="4">
                  <c:v>4.174804640636417E-4</c:v>
                </c:pt>
                <c:pt idx="5">
                  <c:v>0.11036519871007271</c:v>
                </c:pt>
                <c:pt idx="6">
                  <c:v>0.17529415705617196</c:v>
                </c:pt>
                <c:pt idx="7">
                  <c:v>2.1458908779825682E-2</c:v>
                </c:pt>
                <c:pt idx="8">
                  <c:v>3.9847278953582506E-3</c:v>
                </c:pt>
                <c:pt idx="9">
                  <c:v>7.7858585432197007E-3</c:v>
                </c:pt>
                <c:pt idx="10">
                  <c:v>6.2263679017264748E-5</c:v>
                </c:pt>
                <c:pt idx="11">
                  <c:v>9.4001751368562357E-4</c:v>
                </c:pt>
                <c:pt idx="12">
                  <c:v>3.7897438612256751E-2</c:v>
                </c:pt>
                <c:pt idx="13">
                  <c:v>3.3453354688485715E-4</c:v>
                </c:pt>
                <c:pt idx="14">
                  <c:v>1.4513927468514751E-4</c:v>
                </c:pt>
                <c:pt idx="15">
                  <c:v>3.8734958507007935E-3</c:v>
                </c:pt>
                <c:pt idx="16">
                  <c:v>7.7673552224452711E-4</c:v>
                </c:pt>
                <c:pt idx="17">
                  <c:v>3.5150806647948381E-4</c:v>
                </c:pt>
                <c:pt idx="18">
                  <c:v>6.240632203906833E-5</c:v>
                </c:pt>
                <c:pt idx="19">
                  <c:v>2.5828138318542831E-3</c:v>
                </c:pt>
                <c:pt idx="20">
                  <c:v>1.2930989572892254E-3</c:v>
                </c:pt>
                <c:pt idx="21">
                  <c:v>4.9789546760541266E-4</c:v>
                </c:pt>
                <c:pt idx="22">
                  <c:v>6.4763186250182694E-2</c:v>
                </c:pt>
                <c:pt idx="23">
                  <c:v>2.1384033490191024E-4</c:v>
                </c:pt>
                <c:pt idx="24">
                  <c:v>1.6855261113209927E-2</c:v>
                </c:pt>
                <c:pt idx="25">
                  <c:v>2.125347270123857E-2</c:v>
                </c:pt>
                <c:pt idx="26">
                  <c:v>1.5913950282298596E-3</c:v>
                </c:pt>
                <c:pt idx="27">
                  <c:v>2.1026598360219358E-2</c:v>
                </c:pt>
                <c:pt idx="28">
                  <c:v>3.2451287460315536E-4</c:v>
                </c:pt>
                <c:pt idx="29">
                  <c:v>3.9100948529244136E-3</c:v>
                </c:pt>
                <c:pt idx="30">
                  <c:v>1.9613415497992905E-5</c:v>
                </c:pt>
                <c:pt idx="31">
                  <c:v>0.22120040064342303</c:v>
                </c:pt>
                <c:pt idx="32">
                  <c:v>1.8640005990711795E-2</c:v>
                </c:pt>
                <c:pt idx="33">
                  <c:v>2.6481613361832246E-2</c:v>
                </c:pt>
                <c:pt idx="34">
                  <c:v>2.5345666742510536E-4</c:v>
                </c:pt>
                <c:pt idx="35">
                  <c:v>1.8721896611720502E-4</c:v>
                </c:pt>
                <c:pt idx="36">
                  <c:v>5.3234129800853352E-4</c:v>
                </c:pt>
                <c:pt idx="37">
                  <c:v>6.3208689036713486E-4</c:v>
                </c:pt>
                <c:pt idx="38">
                  <c:v>6.2391811800643481E-4</c:v>
                </c:pt>
                <c:pt idx="39">
                  <c:v>9.0364354312570954E-4</c:v>
                </c:pt>
                <c:pt idx="40">
                  <c:v>4.9334400238373217E-2</c:v>
                </c:pt>
                <c:pt idx="41">
                  <c:v>3.3656722443256679E-3</c:v>
                </c:pt>
                <c:pt idx="42">
                  <c:v>3.7515114734342799E-4</c:v>
                </c:pt>
                <c:pt idx="43">
                  <c:v>4.8778516385940683E-2</c:v>
                </c:pt>
                <c:pt idx="44">
                  <c:v>2.5943841791545397E-2</c:v>
                </c:pt>
                <c:pt idx="45">
                  <c:v>2.7087980547171046E-2</c:v>
                </c:pt>
                <c:pt idx="46">
                  <c:v>8.61563851693652E-4</c:v>
                </c:pt>
                <c:pt idx="47">
                  <c:v>5.3526793931795184E-4</c:v>
                </c:pt>
                <c:pt idx="48">
                  <c:v>8.6644876034981352E-4</c:v>
                </c:pt>
                <c:pt idx="49">
                  <c:v>2.9480746531255879E-4</c:v>
                </c:pt>
                <c:pt idx="50">
                  <c:v>6.6247156941660376E-2</c:v>
                </c:pt>
                <c:pt idx="51">
                  <c:v>8.4872597973132947E-5</c:v>
                </c:pt>
                <c:pt idx="52">
                  <c:v>8.5585813082150858E-5</c:v>
                </c:pt>
                <c:pt idx="53">
                  <c:v>4.8541527916866854E-3</c:v>
                </c:pt>
                <c:pt idx="54">
                  <c:v>1.9367479253503967E-3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DC9A-0E4A-B585-2FEEC9BA1399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6.8783068783068793E-2"/>
          <c:w val="0.84801427999466195"/>
          <c:h val="0.93121693121693105"/>
        </c:manualLayout>
      </c:layout>
      <c:pie3DChart>
        <c:varyColors val="1"/>
        <c:ser>
          <c:idx val="0"/>
          <c:order val="0"/>
          <c:tx>
            <c:strRef>
              <c:f>'Metodos de pago'!$D$25</c:f>
              <c:strCache>
                <c:ptCount val="1"/>
                <c:pt idx="0">
                  <c:v>Cuenta de Método_pago2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FA0-7B42-8558-8CF5FEB30F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FA0-7B42-8558-8CF5FEB30F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FA0-7B42-8558-8CF5FEB30F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FA0-7B42-8558-8CF5FEB30F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FA0-7B42-8558-8CF5FEB30F5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'Metodos de pago'!$A$26:$A$30</c:f>
              <c:strCache>
                <c:ptCount val="5"/>
                <c:pt idx="0">
                  <c:v>01 EFECTI</c:v>
                </c:pt>
                <c:pt idx="1">
                  <c:v>02 CHEQU</c:v>
                </c:pt>
                <c:pt idx="2">
                  <c:v>03 TRANS</c:v>
                </c:pt>
                <c:pt idx="3">
                  <c:v>PPD</c:v>
                </c:pt>
                <c:pt idx="4">
                  <c:v>99 OTROS</c:v>
                </c:pt>
              </c:strCache>
            </c:strRef>
          </c:cat>
          <c:val>
            <c:numRef>
              <c:f>'Metodos de pago'!$D$26:$D$30</c:f>
              <c:numCache>
                <c:formatCode>General</c:formatCode>
                <c:ptCount val="5"/>
                <c:pt idx="0">
                  <c:v>4.9857549857549857E-3</c:v>
                </c:pt>
                <c:pt idx="1">
                  <c:v>1.4245014245014246E-3</c:v>
                </c:pt>
                <c:pt idx="2">
                  <c:v>0.35185185185185186</c:v>
                </c:pt>
                <c:pt idx="3">
                  <c:v>0.62891737891737887</c:v>
                </c:pt>
                <c:pt idx="4">
                  <c:v>4.2735042735042739E-3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A0-7B42-8558-8CF5FEB30F5B}"/>
            </c:ext>
          </c:extLst>
        </c:ser>
        <c:dLbls>
          <c:dLblPos val="ctr"/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'Metodos de pago'!$B$25</c:f>
              <c:strCache>
                <c:ptCount val="1"/>
                <c:pt idx="0">
                  <c:v>Suma de Importe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'Metodos de pago'!$A$26:$A$30</c:f>
              <c:strCache>
                <c:ptCount val="5"/>
                <c:pt idx="0">
                  <c:v>01 EFECTI</c:v>
                </c:pt>
                <c:pt idx="1">
                  <c:v>02 CHEQU</c:v>
                </c:pt>
                <c:pt idx="2">
                  <c:v>03 TRANS</c:v>
                </c:pt>
                <c:pt idx="3">
                  <c:v>PPD</c:v>
                </c:pt>
                <c:pt idx="4">
                  <c:v>99 OTROS</c:v>
                </c:pt>
              </c:strCache>
            </c:strRef>
          </c:cat>
          <c:val>
            <c:numRef>
              <c:f>'Metodos de pago'!$B$26:$B$30</c:f>
              <c:numCache>
                <c:formatCode>General</c:formatCode>
                <c:ptCount val="5"/>
                <c:pt idx="0">
                  <c:v>82723.399999999994</c:v>
                </c:pt>
                <c:pt idx="1">
                  <c:v>325139.56</c:v>
                </c:pt>
                <c:pt idx="2">
                  <c:v>11332102.5</c:v>
                </c:pt>
                <c:pt idx="3">
                  <c:v>20592281.94000005</c:v>
                </c:pt>
                <c:pt idx="4">
                  <c:v>196508.24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9-5743-8B19-71063C787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326621072"/>
        <c:axId val="-326619296"/>
        <c:axId val="0"/>
      </c:bar3DChart>
      <c:catAx>
        <c:axId val="-32662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26619296"/>
        <c:crosses val="autoZero"/>
        <c:auto val="1"/>
        <c:lblAlgn val="ctr"/>
        <c:lblOffset val="100"/>
        <c:noMultiLvlLbl val="0"/>
      </c:catAx>
      <c:valAx>
        <c:axId val="-3266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2662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'Metodos de pago'!$C$25</c:f>
              <c:strCache>
                <c:ptCount val="1"/>
                <c:pt idx="0">
                  <c:v>Cuenta de Método_pago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'Metodos de pago'!$A$26:$A$30</c:f>
              <c:strCache>
                <c:ptCount val="5"/>
                <c:pt idx="0">
                  <c:v>01 EFECTI</c:v>
                </c:pt>
                <c:pt idx="1">
                  <c:v>02 CHEQU</c:v>
                </c:pt>
                <c:pt idx="2">
                  <c:v>03 TRANS</c:v>
                </c:pt>
                <c:pt idx="3">
                  <c:v>PPD</c:v>
                </c:pt>
                <c:pt idx="4">
                  <c:v>99 OTROS</c:v>
                </c:pt>
              </c:strCache>
            </c:strRef>
          </c:cat>
          <c:val>
            <c:numRef>
              <c:f>'Metodos de pago'!$C$26:$C$30</c:f>
              <c:numCache>
                <c:formatCode>General</c:formatCode>
                <c:ptCount val="5"/>
                <c:pt idx="0">
                  <c:v>7</c:v>
                </c:pt>
                <c:pt idx="1">
                  <c:v>14</c:v>
                </c:pt>
                <c:pt idx="2">
                  <c:v>494</c:v>
                </c:pt>
                <c:pt idx="3">
                  <c:v>883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A740-BBBB-41D3BAAF7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-323043024"/>
        <c:axId val="-346705808"/>
      </c:barChart>
      <c:catAx>
        <c:axId val="-32304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46705808"/>
        <c:crosses val="autoZero"/>
        <c:auto val="1"/>
        <c:lblAlgn val="ctr"/>
        <c:lblOffset val="100"/>
        <c:noMultiLvlLbl val="0"/>
      </c:catAx>
      <c:valAx>
        <c:axId val="-34670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32304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[Facturas_Cotrapsa.xlsx]Graficos Facturas emitidas!TablaDinámica1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Facturas emitidas'!$B$3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'Graficos Facturas emitidas'!$A$4:$A$32</c:f>
              <c:strCache>
                <c:ptCount val="28"/>
                <c:pt idx="0">
                  <c:v>ANGEL FLORES ARAUJO</c:v>
                </c:pt>
                <c:pt idx="1">
                  <c:v>ARTÍCULOS INDUSTRIALES VADE, S.DE R.L. DE C.V.</c:v>
                </c:pt>
                <c:pt idx="2">
                  <c:v>BIMBO, S.A. DE C.V.</c:v>
                </c:pt>
                <c:pt idx="3">
                  <c:v>BULKMATIC DE MEXICO, S. DE R.L. DE C.V.</c:v>
                </c:pt>
                <c:pt idx="4">
                  <c:v>COMERCIALIZADORA DE REMOLQUES COREM S.A. DE</c:v>
                </c:pt>
                <c:pt idx="5">
                  <c:v>COMERCIALIZADORA SUDIMEX, S. DE R. L. DE C.V.</c:v>
                </c:pt>
                <c:pt idx="6">
                  <c:v>CORPORATIVO MACRO DIESEL, S.A. DE C.V.</c:v>
                </c:pt>
                <c:pt idx="7">
                  <c:v>DE LA LUZ TRAILERS S.A. DE C.V.</c:v>
                </c:pt>
                <c:pt idx="8">
                  <c:v>ENTORNO INDUSTRIAL, S.A. DE C.V.</c:v>
                </c:pt>
                <c:pt idx="9">
                  <c:v>ESPECIALIZADOS EN REMOLQUES Y CARROCERIAS M</c:v>
                </c:pt>
                <c:pt idx="10">
                  <c:v>FLETES HESA, S.A. DE C.V.</c:v>
                </c:pt>
                <c:pt idx="11">
                  <c:v>GERARDO MARTINEZ SEGURA</c:v>
                </c:pt>
                <c:pt idx="12">
                  <c:v>INDUSTRIAS Y MANUFACTURAS MUÑOZ, S.A. DE C.V.</c:v>
                </c:pt>
                <c:pt idx="13">
                  <c:v>MARTHA ELENA MENDOZA MEDINA</c:v>
                </c:pt>
                <c:pt idx="14">
                  <c:v>MUNDO GLOBAL DE REMOLQUES, S.A. DE C.V.</c:v>
                </c:pt>
                <c:pt idx="15">
                  <c:v>OMAR RODRIGO BRAMBILA TAMARIZ</c:v>
                </c:pt>
                <c:pt idx="16">
                  <c:v>PEDRO MORALES CERVANTES</c:v>
                </c:pt>
                <c:pt idx="17">
                  <c:v>PRAXAIR MEXICO, S. DE R.L. DE C.V.</c:v>
                </c:pt>
                <c:pt idx="18">
                  <c:v>REMOLQUES Y CARROCERIAS CRUZ, S.A. DE C.V.</c:v>
                </c:pt>
                <c:pt idx="19">
                  <c:v>SERVICIOS TRACTOMOTRICES, S.A. DE C.V.</c:v>
                </c:pt>
                <c:pt idx="20">
                  <c:v>STOUGHTON REFACCIONES Y SERVICIO MEXICO, S.A.</c:v>
                </c:pt>
                <c:pt idx="21">
                  <c:v>TALLERES ZUBIRIA S.A. DE C.V.</c:v>
                </c:pt>
                <c:pt idx="22">
                  <c:v>TRANSPORTADORA ALPURA S.A.P.I. DE C.V.</c:v>
                </c:pt>
                <c:pt idx="23">
                  <c:v>TRANSPORTADORA EGOBA S.A. DE C.V.</c:v>
                </c:pt>
                <c:pt idx="24">
                  <c:v>TRANSPORTES GARCIAS TRUCKING, S.A. DE C.V.</c:v>
                </c:pt>
                <c:pt idx="25">
                  <c:v>TRANSPORTES MONROY SCHIAVON S.A. DE C.V.</c:v>
                </c:pt>
                <c:pt idx="26">
                  <c:v>UTILITY TRAILERS DE MEXICO,  S.A.P.I.  DE C.V.</c:v>
                </c:pt>
                <c:pt idx="27">
                  <c:v>ZAPATA CAMIONES, S.A. DE C.V.</c:v>
                </c:pt>
              </c:strCache>
            </c:strRef>
          </c:cat>
          <c:val>
            <c:numRef>
              <c:f>'Graficos Facturas emitidas'!$B$4:$B$32</c:f>
              <c:numCache>
                <c:formatCode>General</c:formatCode>
                <c:ptCount val="28"/>
                <c:pt idx="0">
                  <c:v>3876.72</c:v>
                </c:pt>
                <c:pt idx="1">
                  <c:v>5051.7999999999993</c:v>
                </c:pt>
                <c:pt idx="2">
                  <c:v>2154625.64</c:v>
                </c:pt>
                <c:pt idx="3">
                  <c:v>18423.099999999999</c:v>
                </c:pt>
                <c:pt idx="4">
                  <c:v>30577.599999999999</c:v>
                </c:pt>
                <c:pt idx="5">
                  <c:v>273086.86</c:v>
                </c:pt>
                <c:pt idx="6">
                  <c:v>5085.4399999999996</c:v>
                </c:pt>
                <c:pt idx="7">
                  <c:v>4721.2</c:v>
                </c:pt>
                <c:pt idx="8">
                  <c:v>10761.689999999999</c:v>
                </c:pt>
                <c:pt idx="9">
                  <c:v>2204</c:v>
                </c:pt>
                <c:pt idx="10">
                  <c:v>38571.160000000003</c:v>
                </c:pt>
                <c:pt idx="11">
                  <c:v>8097.96</c:v>
                </c:pt>
                <c:pt idx="12">
                  <c:v>98449.2</c:v>
                </c:pt>
                <c:pt idx="13">
                  <c:v>6844</c:v>
                </c:pt>
                <c:pt idx="14">
                  <c:v>3441480.9900000012</c:v>
                </c:pt>
                <c:pt idx="15">
                  <c:v>503660.41999999993</c:v>
                </c:pt>
                <c:pt idx="16">
                  <c:v>17316.400000000001</c:v>
                </c:pt>
                <c:pt idx="17">
                  <c:v>6746.56</c:v>
                </c:pt>
                <c:pt idx="18">
                  <c:v>452901.89999999997</c:v>
                </c:pt>
                <c:pt idx="19">
                  <c:v>30699.489999999998</c:v>
                </c:pt>
                <c:pt idx="20">
                  <c:v>5303.52</c:v>
                </c:pt>
                <c:pt idx="21">
                  <c:v>1530425.01</c:v>
                </c:pt>
                <c:pt idx="22">
                  <c:v>67518.899999999994</c:v>
                </c:pt>
                <c:pt idx="23">
                  <c:v>28025.599999999999</c:v>
                </c:pt>
                <c:pt idx="24">
                  <c:v>11460.8</c:v>
                </c:pt>
                <c:pt idx="25">
                  <c:v>28184.5</c:v>
                </c:pt>
                <c:pt idx="26">
                  <c:v>911427.57999999973</c:v>
                </c:pt>
                <c:pt idx="27">
                  <c:v>88690.069999999992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E-664D-AC3D-C09F2CD01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9153232"/>
        <c:axId val="339154912"/>
      </c:barChart>
      <c:catAx>
        <c:axId val="3391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9154912"/>
        <c:crosses val="autoZero"/>
        <c:auto val="1"/>
        <c:lblAlgn val="ctr"/>
        <c:lblOffset val="100"/>
        <c:noMultiLvlLbl val="0"/>
      </c:catAx>
      <c:valAx>
        <c:axId val="3391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915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4</xdr:row>
      <xdr:rowOff>63500</xdr:rowOff>
    </xdr:from>
    <xdr:to>
      <xdr:col>18</xdr:col>
      <xdr:colOff>406400</xdr:colOff>
      <xdr:row>61</xdr:row>
      <xdr:rowOff>177800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279400</xdr:colOff>
      <xdr:row>0</xdr:row>
      <xdr:rowOff>0</xdr:rowOff>
    </xdr:from>
    <xdr:to>
      <xdr:col>8</xdr:col>
      <xdr:colOff>876300</xdr:colOff>
      <xdr:row>25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279400</xdr:colOff>
      <xdr:row>26</xdr:row>
      <xdr:rowOff>12700</xdr:rowOff>
    </xdr:from>
    <xdr:to>
      <xdr:col>8</xdr:col>
      <xdr:colOff>1155700</xdr:colOff>
      <xdr:row>50</xdr:row>
      <xdr:rowOff>165100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50800</xdr:rowOff>
    </xdr:from>
    <xdr:to>
      <xdr:col>4</xdr:col>
      <xdr:colOff>165100</xdr:colOff>
      <xdr:row>50</xdr:row>
      <xdr:rowOff>25400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1</xdr:row>
      <xdr:rowOff>0</xdr:rowOff>
    </xdr:from>
    <xdr:to>
      <xdr:col>9</xdr:col>
      <xdr:colOff>444500</xdr:colOff>
      <xdr:row>21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3FC5D77-6912-2844-BD1D-B0524570E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 de Microsoft Office" refreshedDate="43699.651545023145" createdVersion="4" refreshedVersion="4" minRefreshableVersion="3" recordCount="1409" xr:uid="{00000000-000A-0000-FFFF-FFFF10000000}">
  <cacheSource type="worksheet">
    <worksheetSource ref="A1:I1410" sheet="Hoja de datos"/>
  </cacheSource>
  <cacheFields count="9">
    <cacheField name="Nombre" numFmtId="0">
      <sharedItems containsBlank="1" count="55">
        <s v="BULKMATIC DE MEXICO, S. DE R.L. DE C.V."/>
        <s v="BRANDES INTERNATIONAL CO."/>
        <s v="COMERCIALIZADORA SUDIMEX, S. DE R. L. DE C.V."/>
        <s v="INDUSTRIAS MAVAEN S.A. DE C.V."/>
        <s v="JEBOL MEXICO SA DE C V"/>
        <s v="TRANSPORTADORA ALPURA S.A.P.I. DE C.V."/>
        <s v="BIMBO, S.A. DE C.V."/>
        <s v="BARCEL S.A. DE C.V."/>
        <s v="REMOLQUES Y CARROCERIAS CRUZ, S.A. DE C.V."/>
        <s v="GRANPORTUARIA SERVICIOS DEDICADOS SA  DE  C V"/>
        <s v="UTILITY TRAILERS DE MEXICO,  S.A.P.I.  DE C.V."/>
        <s v="PRAXAIR MEXICO, S. DE R.L. DE C.V."/>
        <s v="ESPECIALIZADOS EN REMOLQUES Y CARROCERIAS M"/>
        <s v="OMAR RODRIGO BRAMBILA TAMARIZ"/>
        <s v="TALLERES ZUBIRIA S.A. DE C.V."/>
        <s v="MECANICA TEK S.A. DE C.V."/>
        <s v="METRICA MOVIL S.A. DE C.V."/>
        <s v="AIRIBUZ S.A. DE C.V-"/>
        <s v="FRUEHAUF DE MEXICO, S.A. DE C.V."/>
        <s v="TRAILERS Y EQUIPO ALIADO, S.A. DE C.V."/>
        <s v="GRUPO INDUSTRIAL DAVASA, S.A. DE C.V."/>
        <s v="OPERBUS, S.A. DE C.V."/>
        <s v="FLETES HESA, S.A. DE C.V."/>
        <s v="NITROPET, S.A. DE C.V."/>
        <s v="SERVICIOS TRACTOMOTRICES, S.A. DE C.V."/>
        <s v="INDUSTRIAS Y MANUFACTURAS MUÑOZ, S.A. DE C.V."/>
        <s v="MUNDO GLOBAL DE REMOLQUES, S.A. DE C.V."/>
        <s v="AMERICAN SMARTRUCKS, S.A. DE C.V."/>
        <s v="ARTÍCULOS INDUSTRIALES VADE, S.DE R.L. DE C.V."/>
        <s v="CAMIONERA CATOSA S.A. DE C.V."/>
        <s v="INSPECCION Y CRIOGENIA ICSA, S.A. DE C.V."/>
        <s v="ZAPATA CAMIONES, S.A. DE C.V."/>
        <s v="EXA INDUSTRIAL S.A. DE C.V."/>
        <s v="TRAYLFER S.A. C.V."/>
        <s v="CESAR SUAREZ ALCANTARA"/>
        <s v="PAULO CESAR RUIZ CRUCES"/>
        <s v="RAUL GARCIA DE LOS ANGELES"/>
        <s v="TRANSPORTES GARCIAS TRUCKING, S.A. DE C.V."/>
        <s v="ENTORNO INDUSTRIAL, S.A. DE C.V."/>
        <s v="STOUGHTON REFACCIONES Y SERVICIO MEXICO, S.A."/>
        <s v="COMERCIALIZADORA DE REMOLQUES COREM S.A. DE"/>
        <s v="MARTHA ELENA MENDOZA MEDINA"/>
        <s v="PEDRO MORALES CERVANTES"/>
        <s v="TRANSPORTES MONROY SCHIAVON S.A. DE C.V."/>
        <s v="GERARDO MARTINEZ SEGURA"/>
        <s v="VALENTIN PATIÑO BARRIGA"/>
        <s v="ANGEL FLORES ARAUJO"/>
        <s v="TRANSPORTADORA EGOBA S.A. DE C.V."/>
        <s v="VIOLETA MORA HERNANDEZ"/>
        <s v="DE LA LUZ TRAILERS S.A. DE C.V."/>
        <s v="ELVIA AVILES BATREZ"/>
        <m/>
        <s v="REFACCIONARIA Y SERVICIOS DEL NORTE, S.A. DE C.V"/>
        <s v="ALEJANDRO CHAVEZ GONZALEZ"/>
        <s v="CORPORATIVO MACRO DIESEL, S.A. DE C.V."/>
      </sharedItems>
    </cacheField>
    <cacheField name="Estatus" numFmtId="0">
      <sharedItems/>
    </cacheField>
    <cacheField name="Fecha_de_elabor" numFmtId="14">
      <sharedItems containsSemiMixedTypes="0" containsNonDate="0" containsDate="1" containsString="0" minDate="2016-08-22T00:00:00" maxDate="2019-08-22T00:00:00"/>
    </cacheField>
    <cacheField name="Fecha_de_entr" numFmtId="14">
      <sharedItems containsDate="1" containsMixedTypes="1" minDate="2016-08-22T00:00:00" maxDate="2019-08-22T00:00:00"/>
    </cacheField>
    <cacheField name="Fecha_de_p" numFmtId="14">
      <sharedItems containsSemiMixedTypes="0" containsNonDate="0" containsDate="1" containsString="0" minDate="2016-08-30T00:00:00" maxDate="2019-09-30T00:00:00" count="606">
        <d v="2019-08-28T00:00:00"/>
        <d v="2019-09-20T00:00:00"/>
        <d v="2019-08-27T00:00:00"/>
        <d v="2019-09-08T00:00:00"/>
        <d v="2019-08-31T00:00:00"/>
        <d v="2019-09-29T00:00:00"/>
        <d v="2019-09-14T00:00:00"/>
        <d v="2019-09-02T00:00:00"/>
        <d v="2019-09-07T00:00:00"/>
        <d v="2019-09-22T00:00:00"/>
        <d v="2019-09-06T00:00:00"/>
        <d v="2019-08-26T00:00:00"/>
        <d v="2019-08-20T00:00:00"/>
        <d v="2019-08-17T00:00:00"/>
        <d v="2019-08-22T00:00:00"/>
        <d v="2019-08-21T00:00:00"/>
        <d v="2019-08-06T00:00:00"/>
        <d v="2019-08-18T00:00:00"/>
        <d v="2019-08-09T00:00:00"/>
        <d v="2019-09-05T00:00:00"/>
        <d v="2019-08-11T00:00:00"/>
        <d v="2019-08-08T00:00:00"/>
        <d v="2019-07-17T00:00:00"/>
        <d v="2019-07-24T00:00:00"/>
        <d v="2019-08-16T00:00:00"/>
        <d v="2019-08-15T00:00:00"/>
        <d v="2019-07-31T00:00:00"/>
        <d v="2019-07-18T00:00:00"/>
        <d v="2019-07-25T00:00:00"/>
        <d v="2019-08-23T00:00:00"/>
        <d v="2019-07-19T00:00:00"/>
        <d v="2019-07-10T00:00:00"/>
        <d v="2019-08-01T00:00:00"/>
        <d v="2019-07-21T00:00:00"/>
        <d v="2019-07-16T00:00:00"/>
        <d v="2019-07-28T00:00:00"/>
        <d v="2019-07-26T00:00:00"/>
        <d v="2019-07-15T00:00:00"/>
        <d v="2019-07-09T00:00:00"/>
        <d v="2019-07-14T00:00:00"/>
        <d v="2019-06-28T00:00:00"/>
        <d v="2019-07-20T00:00:00"/>
        <d v="2019-07-08T00:00:00"/>
        <d v="2019-07-07T00:00:00"/>
        <d v="2019-06-29T00:00:00"/>
        <d v="2019-07-12T00:00:00"/>
        <d v="2019-06-27T00:00:00"/>
        <d v="2019-06-26T00:00:00"/>
        <d v="2019-06-25T00:00:00"/>
        <d v="2019-07-06T00:00:00"/>
        <d v="2019-07-05T00:00:00"/>
        <d v="2019-06-20T00:00:00"/>
        <d v="2019-07-04T00:00:00"/>
        <d v="2019-06-19T00:00:00"/>
        <d v="2019-06-10T00:00:00"/>
        <d v="2019-06-15T00:00:00"/>
        <d v="2019-06-07T00:00:00"/>
        <d v="2019-06-13T00:00:00"/>
        <d v="2019-06-11T00:00:00"/>
        <d v="2019-06-23T00:00:00"/>
        <d v="2019-06-08T00:00:00"/>
        <d v="2019-06-06T00:00:00"/>
        <d v="2019-06-01T00:00:00"/>
        <d v="2019-06-14T00:00:00"/>
        <d v="2019-05-30T00:00:00"/>
        <d v="2019-05-15T00:00:00"/>
        <d v="2019-05-14T00:00:00"/>
        <d v="2019-05-29T00:00:00"/>
        <d v="2019-05-13T00:00:00"/>
        <d v="2019-05-28T00:00:00"/>
        <d v="2019-05-25T00:00:00"/>
        <d v="2019-05-10T00:00:00"/>
        <d v="2019-05-24T00:00:00"/>
        <d v="2019-05-23T00:00:00"/>
        <d v="2019-06-22T00:00:00"/>
        <d v="2019-05-22T00:00:00"/>
        <d v="2019-06-05T00:00:00"/>
        <d v="2019-05-18T00:00:00"/>
        <d v="2019-05-17T00:00:00"/>
        <d v="2019-05-07T00:00:00"/>
        <d v="2019-05-26T00:00:00"/>
        <d v="2019-05-09T00:00:00"/>
        <d v="2019-05-08T00:00:00"/>
        <d v="2019-04-30T00:00:00"/>
        <d v="2019-04-24T00:00:00"/>
        <d v="2019-05-02T00:00:00"/>
        <d v="2019-04-27T00:00:00"/>
        <d v="2019-05-27T00:00:00"/>
        <d v="2019-04-26T00:00:00"/>
        <d v="2019-04-25T00:00:00"/>
        <d v="2019-04-23T00:00:00"/>
        <d v="2019-05-05T00:00:00"/>
        <d v="2019-05-04T00:00:00"/>
        <d v="2019-04-17T00:00:00"/>
        <d v="2019-05-01T00:00:00"/>
        <d v="2019-04-12T00:00:00"/>
        <d v="2019-04-10T00:00:00"/>
        <d v="2019-04-09T00:00:00"/>
        <d v="2019-04-06T00:00:00"/>
        <d v="2019-04-03T00:00:00"/>
        <d v="2019-03-21T00:00:00"/>
        <d v="2019-03-14T00:00:00"/>
        <d v="2019-03-28T00:00:00"/>
        <d v="2019-03-27T00:00:00"/>
        <d v="2019-03-23T00:00:00"/>
        <d v="2019-04-21T00:00:00"/>
        <d v="2019-04-05T00:00:00"/>
        <d v="2019-03-20T00:00:00"/>
        <d v="2019-03-16T00:00:00"/>
        <d v="2019-03-31T00:00:00"/>
        <d v="2019-03-30T00:00:00"/>
        <d v="2019-03-06T00:00:00"/>
        <d v="2019-03-29T00:00:00"/>
        <d v="2019-03-09T00:00:00"/>
        <d v="2019-03-07T00:00:00"/>
        <d v="2019-02-27T00:00:00"/>
        <d v="2019-04-15T00:00:00"/>
        <d v="2019-03-01T00:00:00"/>
        <d v="2019-02-20T00:00:00"/>
        <d v="2019-02-19T00:00:00"/>
        <d v="2019-02-26T00:00:00"/>
        <d v="2019-02-18T00:00:00"/>
        <d v="2019-02-23T00:00:00"/>
        <d v="2019-03-22T00:00:00"/>
        <d v="2019-02-13T00:00:00"/>
        <d v="2019-02-16T00:00:00"/>
        <d v="2019-02-09T00:00:00"/>
        <d v="2019-02-28T00:00:00"/>
        <d v="2019-02-05T00:00:00"/>
        <d v="2019-02-04T00:00:00"/>
        <d v="2019-02-02T00:00:00"/>
        <d v="2019-02-01T00:00:00"/>
        <d v="2019-01-31T00:00:00"/>
        <d v="2019-01-26T00:00:00"/>
        <d v="2019-01-23T00:00:00"/>
        <d v="2019-02-10T00:00:00"/>
        <d v="2019-01-18T00:00:00"/>
        <d v="2019-02-24T00:00:00"/>
        <d v="2019-01-16T00:00:00"/>
        <d v="2019-01-08T00:00:00"/>
        <d v="2019-02-07T00:00:00"/>
        <d v="2019-01-14T00:00:00"/>
        <d v="2019-02-06T00:00:00"/>
        <d v="2019-01-17T00:00:00"/>
        <d v="2018-12-27T00:00:00"/>
        <d v="2018-12-25T00:00:00"/>
        <d v="2018-12-22T00:00:00"/>
        <d v="2019-01-27T00:00:00"/>
        <d v="2018-12-20T00:00:00"/>
        <d v="2019-02-11T00:00:00"/>
        <d v="2018-12-21T00:00:00"/>
        <d v="2019-01-25T00:00:00"/>
        <d v="2019-01-10T00:00:00"/>
        <d v="2018-12-15T00:00:00"/>
        <d v="2018-12-14T00:00:00"/>
        <d v="2018-12-13T00:00:00"/>
        <d v="2019-01-03T00:00:00"/>
        <d v="2018-12-19T00:00:00"/>
        <d v="2019-01-02T00:00:00"/>
        <d v="2018-12-08T00:00:00"/>
        <d v="2018-12-07T00:00:00"/>
        <d v="2018-12-29T00:00:00"/>
        <d v="2018-12-05T00:00:00"/>
        <d v="2018-12-12T00:00:00"/>
        <d v="2018-12-03T00:00:00"/>
        <d v="2018-12-26T00:00:00"/>
        <d v="2018-12-23T00:00:00"/>
        <d v="2018-11-22T00:00:00"/>
        <d v="2018-11-21T00:00:00"/>
        <d v="2018-12-06T00:00:00"/>
        <d v="2018-11-09T00:00:00"/>
        <d v="2018-11-07T00:00:00"/>
        <d v="2018-11-08T00:00:00"/>
        <d v="2018-11-10T00:00:00"/>
        <d v="2018-11-24T00:00:00"/>
        <d v="2018-11-01T00:00:00"/>
        <d v="2018-11-02T00:00:00"/>
        <d v="2018-10-26T00:00:00"/>
        <d v="2018-10-25T00:00:00"/>
        <d v="2018-11-15T00:00:00"/>
        <d v="2018-10-23T00:00:00"/>
        <d v="2018-10-18T00:00:00"/>
        <d v="2018-10-20T00:00:00"/>
        <d v="2018-10-19T00:00:00"/>
        <d v="2018-11-23T00:00:00"/>
        <d v="2018-10-15T00:00:00"/>
        <d v="2018-10-12T00:00:00"/>
        <d v="2018-11-19T00:00:00"/>
        <d v="2018-10-03T00:00:00"/>
        <d v="2018-11-16T00:00:00"/>
        <d v="2018-10-28T00:00:00"/>
        <d v="2018-11-12T00:00:00"/>
        <d v="2018-11-11T00:00:00"/>
        <d v="2018-10-04T00:00:00"/>
        <d v="2018-10-05T00:00:00"/>
        <d v="2018-10-11T00:00:00"/>
        <d v="2018-10-10T00:00:00"/>
        <d v="2018-09-21T00:00:00"/>
        <d v="2018-09-28T00:00:00"/>
        <d v="2018-09-27T00:00:00"/>
        <d v="2018-09-26T00:00:00"/>
        <d v="2018-09-22T00:00:00"/>
        <d v="2018-09-19T00:00:00"/>
        <d v="2018-09-18T00:00:00"/>
        <d v="2018-10-07T00:00:00"/>
        <d v="2018-10-06T00:00:00"/>
        <d v="2018-09-13T00:00:00"/>
        <d v="2018-09-10T00:00:00"/>
        <d v="2018-09-11T00:00:00"/>
        <d v="2018-09-07T00:00:00"/>
        <d v="2018-09-30T00:00:00"/>
        <d v="2018-09-05T00:00:00"/>
        <d v="2018-09-06T00:00:00"/>
        <d v="2018-09-04T00:00:00"/>
        <d v="2018-09-01T00:00:00"/>
        <d v="2018-09-08T00:00:00"/>
        <d v="2018-08-31T00:00:00"/>
        <d v="2018-09-20T00:00:00"/>
        <d v="2018-08-29T00:00:00"/>
        <d v="2018-08-27T00:00:00"/>
        <d v="2018-10-16T00:00:00"/>
        <d v="2018-08-23T00:00:00"/>
        <d v="2018-08-24T00:00:00"/>
        <d v="2018-09-15T00:00:00"/>
        <d v="2018-08-22T00:00:00"/>
        <d v="2018-09-29T00:00:00"/>
        <d v="2018-08-16T00:00:00"/>
        <d v="2018-08-17T00:00:00"/>
        <d v="2018-08-14T00:00:00"/>
        <d v="2018-08-11T00:00:00"/>
        <d v="2018-08-10T00:00:00"/>
        <d v="2018-08-30T00:00:00"/>
        <d v="2018-08-07T00:00:00"/>
        <d v="2018-08-15T00:00:00"/>
        <d v="2018-08-04T00:00:00"/>
        <d v="2018-08-03T00:00:00"/>
        <d v="2018-08-02T00:00:00"/>
        <d v="2018-08-25T00:00:00"/>
        <d v="2018-08-09T00:00:00"/>
        <d v="2018-08-01T00:00:00"/>
        <d v="2018-07-30T00:00:00"/>
        <d v="2018-07-28T00:00:00"/>
        <d v="2018-07-24T00:00:00"/>
        <d v="2018-07-19T00:00:00"/>
        <d v="2018-08-05T00:00:00"/>
        <d v="2018-07-13T00:00:00"/>
        <d v="2018-07-20T00:00:00"/>
        <d v="2018-07-17T00:00:00"/>
        <d v="2018-07-10T00:00:00"/>
        <d v="2018-07-14T00:00:00"/>
        <d v="2018-07-12T00:00:00"/>
        <d v="2018-07-27T00:00:00"/>
        <d v="2018-07-05T00:00:00"/>
        <d v="2018-07-04T00:00:00"/>
        <d v="2018-07-26T00:00:00"/>
        <d v="2018-06-29T00:00:00"/>
        <d v="2018-07-21T00:00:00"/>
        <d v="2018-07-18T00:00:00"/>
        <d v="2018-06-21T00:00:00"/>
        <d v="2018-06-28T00:00:00"/>
        <d v="2018-06-20T00:00:00"/>
        <d v="2018-06-14T00:00:00"/>
        <d v="2018-06-13T00:00:00"/>
        <d v="2018-06-12T00:00:00"/>
        <d v="2018-06-08T00:00:00"/>
        <d v="2018-06-27T00:00:00"/>
        <d v="2018-06-01T00:00:00"/>
        <d v="2018-06-22T00:00:00"/>
        <d v="2018-05-31T00:00:00"/>
        <d v="2018-05-30T00:00:00"/>
        <d v="2018-06-06T00:00:00"/>
        <d v="2018-05-26T00:00:00"/>
        <d v="2018-06-16T00:00:00"/>
        <d v="2018-05-25T00:00:00"/>
        <d v="2018-06-15T00:00:00"/>
        <d v="2018-05-23T00:00:00"/>
        <d v="2018-05-22T00:00:00"/>
        <d v="2018-05-19T00:00:00"/>
        <d v="2018-06-23T00:00:00"/>
        <d v="2018-06-18T00:00:00"/>
        <d v="2018-05-11T00:00:00"/>
        <d v="2018-05-10T00:00:00"/>
        <d v="2018-04-25T00:00:00"/>
        <d v="2018-05-02T00:00:00"/>
        <d v="2018-05-01T00:00:00"/>
        <d v="2018-05-05T00:00:00"/>
        <d v="2018-05-04T00:00:00"/>
        <d v="2018-05-18T00:00:00"/>
        <d v="2018-05-16T00:00:00"/>
        <d v="2018-05-27T00:00:00"/>
        <d v="2018-04-26T00:00:00"/>
        <d v="2018-04-17T00:00:00"/>
        <d v="2018-05-21T00:00:00"/>
        <d v="2018-04-14T00:00:00"/>
        <d v="2018-04-20T00:00:00"/>
        <d v="2018-04-12T00:00:00"/>
        <d v="2018-05-12T00:00:00"/>
        <d v="2018-04-05T00:00:00"/>
        <d v="2018-04-04T00:00:00"/>
        <d v="2018-04-10T00:00:00"/>
        <d v="2018-03-26T00:00:00"/>
        <d v="2018-04-22T00:00:00"/>
        <d v="2018-03-29T00:00:00"/>
        <d v="2018-03-30T00:00:00"/>
        <d v="2018-03-28T00:00:00"/>
        <d v="2018-03-24T00:00:00"/>
        <d v="2018-04-13T00:00:00"/>
        <d v="2018-04-27T00:00:00"/>
        <d v="2018-04-11T00:00:00"/>
        <d v="2018-03-16T00:00:00"/>
        <d v="2018-03-23T00:00:00"/>
        <d v="2018-04-07T00:00:00"/>
        <d v="2018-04-06T00:00:00"/>
        <d v="2018-04-21T00:00:00"/>
        <d v="2018-03-13T00:00:00"/>
        <d v="2018-04-16T00:00:00"/>
        <d v="2018-03-17T00:00:00"/>
        <d v="2018-03-10T00:00:00"/>
        <d v="2018-04-15T00:00:00"/>
        <d v="2018-03-31T00:00:00"/>
        <d v="2018-03-09T00:00:00"/>
        <d v="2018-03-08T00:00:00"/>
        <d v="2018-03-15T00:00:00"/>
        <d v="2018-03-06T00:00:00"/>
        <d v="2018-03-27T00:00:00"/>
        <d v="2018-04-09T00:00:00"/>
        <d v="2018-03-03T00:00:00"/>
        <d v="2018-03-07T00:00:00"/>
        <d v="2018-02-23T00:00:00"/>
        <d v="2018-02-14T00:00:00"/>
        <d v="2018-02-09T00:00:00"/>
        <d v="2018-02-17T00:00:00"/>
        <d v="2018-02-08T00:00:00"/>
        <d v="2018-03-01T00:00:00"/>
        <d v="2018-02-06T00:00:00"/>
        <d v="2018-01-31T00:00:00"/>
        <d v="2018-02-22T00:00:00"/>
        <d v="2018-02-21T00:00:00"/>
        <d v="2018-02-18T00:00:00"/>
        <d v="2018-02-02T00:00:00"/>
        <d v="2018-02-16T00:00:00"/>
        <d v="2018-01-23T00:00:00"/>
        <d v="2018-02-15T00:00:00"/>
        <d v="2018-01-30T00:00:00"/>
        <d v="2018-02-11T00:00:00"/>
        <d v="2018-01-17T00:00:00"/>
        <d v="2018-01-16T00:00:00"/>
        <d v="2018-01-19T00:00:00"/>
        <d v="2018-02-03T00:00:00"/>
        <d v="2018-01-12T00:00:00"/>
        <d v="2018-01-10T00:00:00"/>
        <d v="2017-12-29T00:00:00"/>
        <d v="2018-01-20T00:00:00"/>
        <d v="2018-01-04T00:00:00"/>
        <d v="2017-12-27T00:00:00"/>
        <d v="2018-01-03T00:00:00"/>
        <d v="2017-12-18T00:00:00"/>
        <d v="2017-12-30T00:00:00"/>
        <d v="2017-12-22T00:00:00"/>
        <d v="2017-12-21T00:00:00"/>
        <d v="2018-01-13T00:00:00"/>
        <d v="2017-12-20T00:00:00"/>
        <d v="2018-01-11T00:00:00"/>
        <d v="2017-12-19T00:00:00"/>
        <d v="2018-01-21T00:00:00"/>
        <d v="2017-12-31T00:00:00"/>
        <d v="2017-12-08T00:00:00"/>
        <d v="2017-12-24T00:00:00"/>
        <d v="2017-12-01T00:00:00"/>
        <d v="2017-11-30T00:00:00"/>
        <d v="2017-11-29T00:00:00"/>
        <d v="2017-11-28T00:00:00"/>
        <d v="2017-11-25T00:00:00"/>
        <d v="2017-12-13T00:00:00"/>
        <d v="2017-12-09T00:00:00"/>
        <d v="2017-11-17T00:00:00"/>
        <d v="2017-11-15T00:00:00"/>
        <d v="2017-11-14T00:00:00"/>
        <d v="2017-11-07T00:00:00"/>
        <d v="2017-11-03T00:00:00"/>
        <d v="2017-11-02T00:00:00"/>
        <d v="2017-11-01T00:00:00"/>
        <d v="2017-11-24T00:00:00"/>
        <d v="2017-11-23T00:00:00"/>
        <d v="2017-11-22T00:00:00"/>
        <d v="2017-11-19T00:00:00"/>
        <d v="2017-11-16T00:00:00"/>
        <d v="2017-10-24T00:00:00"/>
        <d v="2017-11-11T00:00:00"/>
        <d v="2017-11-10T00:00:00"/>
        <d v="2017-10-18T00:00:00"/>
        <d v="2017-10-25T00:00:00"/>
        <d v="2017-11-09T00:00:00"/>
        <d v="2017-11-08T00:00:00"/>
        <d v="2017-10-17T00:00:00"/>
        <d v="2017-10-13T00:00:00"/>
        <d v="2017-10-14T00:00:00"/>
        <d v="2017-10-05T00:00:00"/>
        <d v="2017-10-04T00:00:00"/>
        <d v="2017-10-03T00:00:00"/>
        <d v="2017-10-22T00:00:00"/>
        <d v="2017-09-29T00:00:00"/>
        <d v="2017-10-20T00:00:00"/>
        <d v="2017-09-28T00:00:00"/>
        <d v="2017-10-19T00:00:00"/>
        <d v="2017-09-27T00:00:00"/>
        <d v="2017-09-22T00:00:00"/>
        <d v="2017-09-20T00:00:00"/>
        <d v="2017-10-11T00:00:00"/>
        <d v="2017-09-15T00:00:00"/>
        <d v="2017-09-14T00:00:00"/>
        <d v="2017-10-06T00:00:00"/>
        <d v="2017-09-12T00:00:00"/>
        <d v="2017-10-01T00:00:00"/>
        <d v="2017-10-31T00:00:00"/>
        <d v="2017-09-08T00:00:00"/>
        <d v="2017-09-30T00:00:00"/>
        <d v="2017-10-12T00:00:00"/>
        <d v="2017-09-02T00:00:00"/>
        <d v="2017-09-01T00:00:00"/>
        <d v="2017-09-21T00:00:00"/>
        <d v="2017-08-24T00:00:00"/>
        <d v="2017-08-23T00:00:00"/>
        <d v="2017-08-21T00:00:00"/>
        <d v="2017-08-16T00:00:00"/>
        <d v="2017-08-13T00:00:00"/>
        <d v="2017-09-07T00:00:00"/>
        <d v="2017-09-03T00:00:00"/>
        <d v="2017-08-19T00:00:00"/>
        <d v="2017-08-11T00:00:00"/>
        <d v="2017-10-02T00:00:00"/>
        <d v="2017-08-09T00:00:00"/>
        <d v="2017-08-31T00:00:00"/>
        <d v="2017-08-08T00:00:00"/>
        <d v="2017-08-27T00:00:00"/>
        <d v="2017-08-05T00:00:00"/>
        <d v="2017-08-12T00:00:00"/>
        <d v="2017-08-10T00:00:00"/>
        <d v="2017-08-01T00:00:00"/>
        <d v="2017-07-28T00:00:00"/>
        <d v="2017-07-29T00:00:00"/>
        <d v="2017-08-18T00:00:00"/>
        <d v="2017-07-27T00:00:00"/>
        <d v="2017-07-26T00:00:00"/>
        <d v="2017-07-24T00:00:00"/>
        <d v="2017-08-28T00:00:00"/>
        <d v="2017-07-18T00:00:00"/>
        <d v="2017-07-17T00:00:00"/>
        <d v="2017-07-07T00:00:00"/>
        <d v="2017-07-14T00:00:00"/>
        <d v="2017-07-06T00:00:00"/>
        <d v="2017-07-05T00:00:00"/>
        <d v="2017-07-04T00:00:00"/>
        <d v="2017-07-11T00:00:00"/>
        <d v="2017-07-08T00:00:00"/>
        <d v="2017-06-30T00:00:00"/>
        <d v="2017-07-21T00:00:00"/>
        <d v="2017-07-16T00:00:00"/>
        <d v="2017-06-15T00:00:00"/>
        <d v="2017-07-15T00:00:00"/>
        <d v="2017-06-23T00:00:00"/>
        <d v="2017-07-13T00:00:00"/>
        <d v="2017-06-21T00:00:00"/>
        <d v="2017-06-20T00:00:00"/>
        <d v="2017-06-17T00:00:00"/>
        <d v="2017-07-09T00:00:00"/>
        <d v="2017-06-12T00:00:00"/>
        <d v="2017-06-05T00:00:00"/>
        <d v="2017-06-10T00:00:00"/>
        <d v="2017-06-06T00:00:00"/>
        <d v="2017-06-03T00:00:00"/>
        <d v="2017-07-25T00:00:00"/>
        <d v="2017-06-24T00:00:00"/>
        <d v="2017-07-22T00:00:00"/>
        <d v="2017-05-30T00:00:00"/>
        <d v="2017-05-27T00:00:00"/>
        <d v="2017-05-25T00:00:00"/>
        <d v="2017-05-24T00:00:00"/>
        <d v="2017-05-23T00:00:00"/>
        <d v="2017-05-19T00:00:00"/>
        <d v="2017-06-09T00:00:00"/>
        <d v="2017-05-17T00:00:00"/>
        <d v="2017-05-16T00:00:00"/>
        <d v="2017-05-12T00:00:00"/>
        <d v="2017-05-09T00:00:00"/>
        <d v="2017-05-04T00:00:00"/>
        <d v="2017-04-29T00:00:00"/>
        <d v="2017-05-20T00:00:00"/>
        <d v="2017-04-27T00:00:00"/>
        <d v="2017-04-17T00:00:00"/>
        <d v="2017-04-19T00:00:00"/>
        <d v="2017-04-26T00:00:00"/>
        <d v="2017-05-11T00:00:00"/>
        <d v="2017-04-06T00:00:00"/>
        <d v="2017-04-14T00:00:00"/>
        <d v="2017-05-05T00:00:00"/>
        <d v="2017-04-12T00:00:00"/>
        <d v="2017-05-03T00:00:00"/>
        <d v="2017-04-08T00:00:00"/>
        <d v="2017-03-31T00:00:00"/>
        <d v="2017-04-22T00:00:00"/>
        <d v="2017-04-21T00:00:00"/>
        <d v="2017-03-17T00:00:00"/>
        <d v="2017-03-25T00:00:00"/>
        <d v="2017-04-15T00:00:00"/>
        <d v="2017-03-30T00:00:00"/>
        <d v="2017-03-22T00:00:00"/>
        <d v="2017-04-13T00:00:00"/>
        <d v="2017-03-13T00:00:00"/>
        <d v="2017-03-15T00:00:00"/>
        <d v="2017-03-18T00:00:00"/>
        <d v="2017-04-05T00:00:00"/>
        <d v="2017-04-02T00:00:00"/>
        <d v="2017-03-11T00:00:00"/>
        <d v="2017-03-08T00:00:00"/>
        <d v="2017-03-29T00:00:00"/>
        <d v="2017-04-25T00:00:00"/>
        <d v="2017-03-04T00:00:00"/>
        <d v="2017-04-09T00:00:00"/>
        <d v="2017-03-02T00:00:00"/>
        <d v="2017-03-24T00:00:00"/>
        <d v="2017-02-25T00:00:00"/>
        <d v="2017-02-21T00:00:00"/>
        <d v="2017-03-12T00:00:00"/>
        <d v="2017-03-27T00:00:00"/>
        <d v="2017-02-15T00:00:00"/>
        <d v="2017-03-05T00:00:00"/>
        <d v="2017-03-19T00:00:00"/>
        <d v="2017-02-08T00:00:00"/>
        <d v="2017-03-01T00:00:00"/>
        <d v="2017-02-03T00:00:00"/>
        <d v="2017-02-01T00:00:00"/>
        <d v="2017-02-23T00:00:00"/>
        <d v="2017-02-22T00:00:00"/>
        <d v="2017-02-17T00:00:00"/>
        <d v="2017-02-27T00:00:00"/>
        <d v="2017-01-20T00:00:00"/>
        <d v="2017-02-11T00:00:00"/>
        <d v="2017-01-19T00:00:00"/>
        <d v="2017-01-18T00:00:00"/>
        <d v="2017-01-11T00:00:00"/>
        <d v="2017-01-10T00:00:00"/>
        <d v="2017-02-02T00:00:00"/>
        <d v="2017-01-07T00:00:00"/>
        <d v="2017-02-06T00:00:00"/>
        <d v="2017-01-22T00:00:00"/>
        <d v="2016-12-30T00:00:00"/>
        <d v="2016-12-29T00:00:00"/>
        <d v="2016-12-27T00:00:00"/>
        <d v="2016-12-24T00:00:00"/>
        <d v="2017-01-14T00:00:00"/>
        <d v="2016-12-23T00:00:00"/>
        <d v="2017-01-27T00:00:00"/>
        <d v="2016-12-13T00:00:00"/>
        <d v="2016-12-15T00:00:00"/>
        <d v="2017-01-05T00:00:00"/>
        <d v="2016-12-14T00:00:00"/>
        <d v="2017-01-04T00:00:00"/>
        <d v="2016-12-12T00:00:00"/>
        <d v="2016-12-20T00:00:00"/>
        <d v="2017-01-01T00:00:00"/>
        <d v="2016-12-03T00:00:00"/>
        <d v="2016-12-09T00:00:00"/>
        <d v="2016-12-08T00:00:00"/>
        <d v="2016-12-28T00:00:00"/>
        <d v="2016-12-06T00:00:00"/>
        <d v="2016-12-02T00:00:00"/>
        <d v="2016-11-24T00:00:00"/>
        <d v="2016-12-01T00:00:00"/>
        <d v="2016-11-30T00:00:00"/>
        <d v="2016-11-10T00:00:00"/>
        <d v="2016-11-15T00:00:00"/>
        <d v="2016-11-12T00:00:00"/>
        <d v="2016-11-05T00:00:00"/>
        <d v="2016-11-25T00:00:00"/>
        <d v="2016-10-28T00:00:00"/>
        <d v="2016-11-08T00:00:00"/>
        <d v="2016-11-23T00:00:00"/>
        <d v="2016-10-27T00:00:00"/>
        <d v="2016-11-18T00:00:00"/>
        <d v="2016-10-26T00:00:00"/>
        <d v="2016-11-13T00:00:00"/>
        <d v="2016-10-20T00:00:00"/>
        <d v="2016-11-11T00:00:00"/>
        <d v="2016-10-19T00:00:00"/>
        <d v="2016-11-09T00:00:00"/>
        <d v="2016-10-18T00:00:00"/>
        <d v="2016-10-10T00:00:00"/>
        <d v="2016-10-11T00:00:00"/>
        <d v="2016-10-30T00:00:00"/>
        <d v="2016-10-29T00:00:00"/>
        <d v="2016-10-06T00:00:00"/>
        <d v="2016-10-05T00:00:00"/>
        <d v="2016-10-21T00:00:00"/>
        <d v="2016-09-27T00:00:00"/>
        <d v="2016-10-14T00:00:00"/>
        <d v="2016-09-15T00:00:00"/>
        <d v="2016-09-22T00:00:00"/>
        <d v="2016-09-09T00:00:00"/>
        <d v="2016-10-07T00:00:00"/>
        <d v="2016-09-14T00:00:00"/>
        <d v="2016-09-13T00:00:00"/>
        <d v="2016-10-01T00:00:00"/>
        <d v="2016-09-03T00:00:00"/>
        <d v="2016-09-23T00:00:00"/>
        <d v="2016-08-30T00:00:00"/>
      </sharedItems>
    </cacheField>
    <cacheField name="Fecha_de_cance" numFmtId="14">
      <sharedItems containsNonDate="0" containsDate="1" containsString="0" containsBlank="1" minDate="2016-08-30T00:00:00" maxDate="2019-08-21T00:00:00"/>
    </cacheField>
    <cacheField name="Subtotal" numFmtId="0">
      <sharedItems containsSemiMixedTypes="0" containsString="0" containsNumber="1" minValue="74.58" maxValue="456090"/>
    </cacheField>
    <cacheField name="Importe" numFmtId="0">
      <sharedItems containsSemiMixedTypes="0" containsString="0" containsNumber="1" minValue="86.51" maxValue="529064" count="1154">
        <n v="1691.28"/>
        <n v="105432"/>
        <n v="3555.4"/>
        <n v="1433.76"/>
        <n v="10594.5"/>
        <n v="81153.600000000006"/>
        <n v="36040"/>
        <n v="14495.3"/>
        <n v="2524.16"/>
        <n v="3501.58"/>
        <n v="45710.9"/>
        <n v="6204.84"/>
        <n v="52078.2"/>
        <n v="12277.4"/>
        <n v="16911.599999999999"/>
        <n v="45547.4"/>
        <n v="3260.76"/>
        <n v="36799.800000000003"/>
        <n v="39761.300000000003"/>
        <n v="19116.8"/>
        <n v="72080"/>
        <n v="21230.3"/>
        <n v="16013.8"/>
        <n v="60536.800000000003"/>
        <n v="207.64"/>
        <n v="82441.2"/>
        <n v="11716.8"/>
        <n v="11380.1"/>
        <n v="13526.7"/>
        <n v="3118.08"/>
        <n v="2552"/>
        <n v="1020.8"/>
        <n v="64195.5"/>
        <n v="40423.599999999999"/>
        <n v="928"/>
        <n v="41220.6"/>
        <n v="55877.2"/>
        <n v="9860"/>
        <n v="7736.04"/>
        <n v="2900"/>
        <n v="29464.1"/>
        <n v="32345.4"/>
        <n v="26019.9"/>
        <n v="25523.4"/>
        <n v="3824.52"/>
        <n v="6403.2"/>
        <n v="7103.84"/>
        <n v="54408.6"/>
        <n v="14382.8"/>
        <n v="15119.4"/>
        <n v="80682.600000000006"/>
        <n v="7215.2"/>
        <n v="17329.099999999999"/>
        <n v="9353.08"/>
        <n v="40489.800000000003"/>
        <n v="25334.400000000001"/>
        <n v="54777.5"/>
        <n v="41217.1"/>
        <n v="52131.5"/>
        <n v="45947.6"/>
        <n v="52521.3"/>
        <n v="53561.8"/>
        <n v="52079.3"/>
        <n v="53329.8"/>
        <n v="53655.8"/>
        <n v="43312"/>
        <n v="51983"/>
        <n v="46282.8"/>
        <n v="8120"/>
        <n v="5800"/>
        <n v="6380"/>
        <n v="22388"/>
        <n v="28976.799999999999"/>
        <n v="6107.4"/>
        <n v="8066.64"/>
        <n v="13084.8"/>
        <n v="53766"/>
        <n v="33172.5"/>
        <n v="3761.18"/>
        <n v="16383.8"/>
        <n v="29053.3"/>
        <n v="102567"/>
        <n v="6380.58"/>
        <n v="74773.600000000006"/>
        <n v="21098"/>
        <n v="638"/>
        <n v="7522.37"/>
        <n v="10217.200000000001"/>
        <n v="50727.199999999997"/>
        <n v="8194.01"/>
        <n v="62865.599999999999"/>
        <n v="1716.8"/>
        <n v="3156.71"/>
        <n v="15828.3"/>
        <n v="81716.2"/>
        <n v="53261"/>
        <n v="52870.9"/>
        <n v="81117.600000000006"/>
        <n v="15712.3"/>
        <n v="765.6"/>
        <n v="21007.599999999999"/>
        <n v="7094.56"/>
        <n v="42062.9"/>
        <n v="2204"/>
        <n v="568.4"/>
        <n v="26704.3"/>
        <n v="34196.800000000003"/>
        <n v="23777.599999999999"/>
        <n v="974.4"/>
        <n v="19720"/>
        <n v="41710.1"/>
        <n v="42572"/>
        <n v="48985.599999999999"/>
        <n v="40299.5"/>
        <n v="56886.400000000001"/>
        <n v="48737.4"/>
        <n v="42465.2"/>
        <n v="56195"/>
        <n v="40243.800000000003"/>
        <n v="24204.5"/>
        <n v="1897.76"/>
        <n v="33257.199999999997"/>
        <n v="1443.04"/>
        <n v="7097.25"/>
        <n v="3967.2"/>
        <n v="14189.1"/>
        <n v="113.68"/>
        <n v="4242.82"/>
        <n v="43665.599999999999"/>
        <n v="122245"/>
        <n v="1044"/>
        <n v="11748.4"/>
        <n v="27871.3"/>
        <n v="27286.6"/>
        <n v="33597.599999999999"/>
        <n v="17098.400000000001"/>
        <n v="13485.9"/>
        <n v="37796.199999999997"/>
        <n v="2295.41"/>
        <n v="32581.200000000001"/>
        <n v="5411.72"/>
        <n v="99927"/>
        <n v="39334.1"/>
        <n v="169.96"/>
        <n v="11619.9"/>
        <n v="6786"/>
        <n v="7146.76"/>
        <n v="7198.96"/>
        <n v="9554.92"/>
        <n v="16873.3"/>
        <n v="56350.400000000001"/>
        <n v="8677.9599999999991"/>
        <n v="15943"/>
        <n v="16639"/>
        <n v="17207.400000000001"/>
        <n v="16401.2"/>
        <n v="25912"/>
        <n v="34666.6"/>
        <n v="24378.2"/>
        <n v="5892.15"/>
        <n v="7797.52"/>
        <n v="8740.6"/>
        <n v="6670"/>
        <n v="8271.9599999999991"/>
        <n v="15523.1"/>
        <n v="8698.84"/>
        <n v="15555.6"/>
        <n v="9278.84"/>
        <n v="8768.44"/>
        <n v="8346.2000000000007"/>
        <n v="16453.400000000001"/>
        <n v="23711.5"/>
        <n v="8799.76"/>
        <n v="46901.1"/>
        <n v="17561.2"/>
        <n v="18038.2"/>
        <n v="580"/>
        <n v="36805.599999999999"/>
        <n v="16136.7"/>
        <n v="24074.6"/>
        <n v="16736.400000000001"/>
        <n v="34065.699999999997"/>
        <n v="17321.099999999999"/>
        <n v="17274.7"/>
        <n v="15794.5"/>
        <n v="16415.099999999999"/>
        <n v="15876.9"/>
        <n v="9310.16"/>
        <n v="16447.599999999999"/>
        <n v="8324.16"/>
        <n v="12832.2"/>
        <n v="10347.9"/>
        <n v="4359.33"/>
        <n v="30404.7"/>
        <n v="2553.9499999999998"/>
        <n v="3104.37"/>
        <n v="74620.399999999994"/>
        <n v="2714.4"/>
        <n v="11114"/>
        <n v="19696.8"/>
        <n v="2227.1999999999998"/>
        <n v="4406.74"/>
        <n v="34838.199999999997"/>
        <n v="16847.099999999999"/>
        <n v="8050.4"/>
        <n v="52181.4"/>
        <n v="31031.1"/>
        <n v="464"/>
        <n v="3021.1"/>
        <n v="14409.6"/>
        <n v="17667.7"/>
        <n v="26086.1"/>
        <n v="23416.9"/>
        <n v="23521.3"/>
        <n v="17212"/>
        <n v="26739.1"/>
        <n v="24162.799999999999"/>
        <n v="3426.64"/>
        <n v="3692.98"/>
        <n v="4352.4399999999996"/>
        <n v="3099.46"/>
        <n v="1510.55"/>
        <n v="7784.76"/>
        <n v="47213.1"/>
        <n v="4794.28"/>
        <n v="1713.32"/>
        <n v="9708.5"/>
        <n v="32461.4"/>
        <n v="8719.7199999999993"/>
        <n v="8313.7199999999993"/>
        <n v="32934.699999999997"/>
        <n v="20714.099999999999"/>
        <n v="58389.7"/>
        <n v="24214.6"/>
        <n v="29058"/>
        <n v="26100"/>
        <n v="9588.56"/>
        <n v="44362.400000000001"/>
        <n v="21436.6"/>
        <n v="12818"/>
        <n v="6243.12"/>
        <n v="16369.9"/>
        <n v="15963.9"/>
        <n v="18174.8"/>
        <n v="8325.32"/>
        <n v="8872.84"/>
        <n v="8303.2800000000007"/>
        <n v="8190.76"/>
        <n v="8962.16"/>
        <n v="8132.76"/>
        <n v="9448.2000000000007"/>
        <n v="7782.44"/>
        <n v="8847.32"/>
        <n v="8287.0400000000009"/>
        <n v="8942.44"/>
        <n v="7656"/>
        <n v="9754.44"/>
        <n v="8943.6"/>
        <n v="9522.44"/>
        <n v="8689.56"/>
        <n v="9048"/>
        <n v="8070.12"/>
        <n v="8004"/>
        <n v="8091"/>
        <n v="8218.6"/>
        <n v="8234.84"/>
        <n v="8639.68"/>
        <n v="948.88"/>
        <n v="30087.8"/>
        <n v="46337.3"/>
        <n v="2309.0500000000002"/>
        <n v="3677.39"/>
        <n v="6509.92"/>
        <n v="3092.92"/>
        <n v="16759.599999999999"/>
        <n v="33399.800000000003"/>
        <n v="25974.7"/>
        <n v="16025.4"/>
        <n v="7122.4"/>
        <n v="8807.6"/>
        <n v="16055.5"/>
        <n v="31953.3"/>
        <n v="609.27"/>
        <n v="12064"/>
        <n v="2352.48"/>
        <n v="4113.3599999999997"/>
        <n v="21288.2"/>
        <n v="8287.41"/>
        <n v="34710.6"/>
        <n v="32933.5"/>
        <n v="31234.1"/>
        <n v="12672.6"/>
        <n v="23079.3"/>
        <n v="13660.1"/>
        <n v="19177.099999999999"/>
        <n v="40090.699999999997"/>
        <n v="14252.9"/>
        <n v="45694.7"/>
        <n v="8782.36"/>
        <n v="46049.599999999999"/>
        <n v="16787.5"/>
        <n v="31925.5"/>
        <n v="23196.5"/>
        <n v="21196.6"/>
        <n v="13816.7"/>
        <n v="49230.400000000001"/>
        <n v="520.84"/>
        <n v="16896.5"/>
        <n v="18121.5"/>
        <n v="50147.1"/>
        <n v="4807.04"/>
        <n v="4472.01"/>
        <n v="2269.38"/>
        <n v="3203.83"/>
        <n v="4538.76"/>
        <n v="9611.48"/>
        <n v="16019.1"/>
        <n v="10011.9"/>
        <n v="6407.65"/>
        <n v="21344"/>
        <n v="15787.6"/>
        <n v="30987"/>
        <n v="8837.9500000000007"/>
        <n v="2919.49"/>
        <n v="31799.9"/>
        <n v="14500"/>
        <n v="25201.3"/>
        <n v="9450.5"/>
        <n v="11170.8"/>
        <n v="8847.27"/>
        <n v="23190.5"/>
        <n v="7730.19"/>
        <n v="1352.56"/>
        <n v="602.33000000000004"/>
        <n v="7484.81"/>
        <n v="4906.8"/>
        <n v="25098.9"/>
        <n v="1991.95"/>
        <n v="26912"/>
        <n v="52447"/>
        <n v="14187.2"/>
        <n v="13021"/>
        <n v="89005.5"/>
        <n v="12926.4"/>
        <n v="36377.599999999999"/>
        <n v="44049.8"/>
        <n v="33222.400000000001"/>
        <n v="10668.2"/>
        <n v="35252.400000000001"/>
        <n v="4454.3999999999996"/>
        <n v="2693.52"/>
        <n v="8121.5"/>
        <n v="6638.83"/>
        <n v="28337.200000000001"/>
        <n v="16707.7"/>
        <n v="18588.7"/>
        <n v="20248.400000000001"/>
        <n v="11275.2"/>
        <n v="8630.48"/>
        <n v="8654.41"/>
        <n v="1795.68"/>
        <n v="20301.400000000001"/>
        <n v="33104"/>
        <n v="56573.2"/>
        <n v="16873.7"/>
        <n v="13263.1"/>
        <n v="2813.58"/>
        <n v="30081.1"/>
        <n v="8080.56"/>
        <n v="2020.14"/>
        <n v="41076.1"/>
        <n v="15083.7"/>
        <n v="43750.5"/>
        <n v="2262"/>
        <n v="12992"/>
        <n v="13131.2"/>
        <n v="10614"/>
        <n v="42567.3"/>
        <n v="8737.1200000000008"/>
        <n v="4688.8500000000004"/>
        <n v="4198.97"/>
        <n v="28552.9"/>
        <n v="20131.7"/>
        <n v="32611.9"/>
        <n v="23700.799999999999"/>
        <n v="26486.7"/>
        <n v="16075"/>
        <n v="7153.61"/>
        <n v="32668.5"/>
        <n v="40388.400000000001"/>
        <n v="33717.699999999997"/>
        <n v="11878.4"/>
        <n v="14520.8"/>
        <n v="529064"/>
        <n v="9069.16"/>
        <n v="4245.6000000000004"/>
        <n v="20211.8"/>
        <n v="4414.32"/>
        <n v="26789.3"/>
        <n v="3895.49"/>
        <n v="41137.300000000003"/>
        <n v="18280.599999999999"/>
        <n v="747.04"/>
        <n v="9396"/>
        <n v="34656.1"/>
        <n v="24986.400000000001"/>
        <n v="31843.599999999999"/>
        <n v="8713.92"/>
        <n v="6763.4"/>
        <n v="18548.400000000001"/>
        <n v="15810.8"/>
        <n v="6386.15"/>
        <n v="13015.2"/>
        <n v="17469.599999999999"/>
        <n v="6496"/>
        <n v="8226.7199999999993"/>
        <n v="7827.68"/>
        <n v="8720.8799999999992"/>
        <n v="145437"/>
        <n v="4297.8"/>
        <n v="4855.67"/>
        <n v="12068.4"/>
        <n v="24820.400000000001"/>
        <n v="20082.599999999999"/>
        <n v="33942.5"/>
        <n v="4313.53"/>
        <n v="7919.92"/>
        <n v="3229.25"/>
        <n v="6317.08"/>
        <n v="1697.13"/>
        <n v="5384.81"/>
        <n v="556.79999999999995"/>
        <n v="603.20000000000005"/>
        <n v="2988.16"/>
        <n v="44936.1"/>
        <n v="68186"/>
        <n v="510.4"/>
        <n v="16123.5"/>
        <n v="33073.9"/>
        <n v="52798.5"/>
        <n v="52775.3"/>
        <n v="25849.4"/>
        <n v="1450"/>
        <n v="13502.4"/>
        <n v="82494.600000000006"/>
        <n v="55102.3"/>
        <n v="3248"/>
        <n v="6595.76"/>
        <n v="4259.5200000000004"/>
        <n v="5252.48"/>
        <n v="17244.3"/>
        <n v="88936.6"/>
        <n v="1607.76"/>
        <n v="5057.6000000000004"/>
        <n v="1055.5999999999999"/>
        <n v="19372"/>
        <n v="7405.44"/>
        <n v="42805.8"/>
        <n v="1397.29"/>
        <n v="15627.5"/>
        <n v="14912.9"/>
        <n v="29234.3"/>
        <n v="5674.72"/>
        <n v="32873.199999999997"/>
        <n v="11852.8"/>
        <n v="3027.6"/>
        <n v="51766.1"/>
        <n v="102078"/>
        <n v="1541.99"/>
        <n v="24561.599999999999"/>
        <n v="4692.05"/>
        <n v="8723.25"/>
        <n v="7878.72"/>
        <n v="4698"/>
        <n v="30772.400000000001"/>
        <n v="4825.6000000000004"/>
        <n v="30561.3"/>
        <n v="15937.9"/>
        <n v="27956.7"/>
        <n v="15560.3"/>
        <n v="11601.2"/>
        <n v="95349.3"/>
        <n v="41211.300000000003"/>
        <n v="20219.599999999999"/>
        <n v="4375.3999999999996"/>
        <n v="29266.799999999999"/>
        <n v="3883.4"/>
        <n v="2544.3000000000002"/>
        <n v="15171.3"/>
        <n v="14968.6"/>
        <n v="13372.4"/>
        <n v="16088.7"/>
        <n v="48955.4"/>
        <n v="8857.76"/>
        <n v="10851.3"/>
        <n v="17221.3"/>
        <n v="152006"/>
        <n v="142610"/>
        <n v="14488.4"/>
        <n v="136805"/>
        <n v="128349"/>
        <n v="29640.6"/>
        <n v="22017.5"/>
        <n v="10244.1"/>
        <n v="7770.67"/>
        <n v="7683.11"/>
        <n v="16022.8"/>
        <n v="7662.75"/>
        <n v="256568"/>
        <n v="7358.67"/>
        <n v="30053.200000000001"/>
        <n v="12180"/>
        <n v="18454.5"/>
        <n v="19829"/>
        <n v="3393"/>
        <n v="3674.88"/>
        <n v="2030"/>
        <n v="21797.5"/>
        <n v="909.44"/>
        <n v="9589.7199999999993"/>
        <n v="50058.6"/>
        <n v="18374.400000000001"/>
        <n v="4118"/>
        <n v="135194"/>
        <n v="8032.68"/>
        <n v="395723"/>
        <n v="2774.72"/>
        <n v="12052.4"/>
        <n v="6285.32"/>
        <n v="13746"/>
        <n v="14864.2"/>
        <n v="9216.08"/>
        <n v="25690.799999999999"/>
        <n v="100466"/>
        <n v="15200.6"/>
        <n v="19413.7"/>
        <n v="4655.0600000000004"/>
        <n v="3887.86"/>
        <n v="9918.1299999999992"/>
        <n v="1306.3900000000001"/>
        <n v="6691"/>
        <n v="21283.599999999999"/>
        <n v="7871.76"/>
        <n v="29000"/>
        <n v="30160"/>
        <n v="17031.099999999999"/>
        <n v="7748.8"/>
        <n v="9871.02"/>
        <n v="12108.4"/>
        <n v="406"/>
        <n v="7367.16"/>
        <n v="16864"/>
        <n v="28380.5"/>
        <n v="8262.02"/>
        <n v="11369.6"/>
        <n v="36956.9"/>
        <n v="13374"/>
        <n v="45129"/>
        <n v="51218.6"/>
        <n v="243740"/>
        <n v="59068.6"/>
        <n v="4817.57"/>
        <n v="19902"/>
        <n v="10105.9"/>
        <n v="28401.4"/>
        <n v="12973.4"/>
        <n v="939.6"/>
        <n v="68687.5"/>
        <n v="3120.4"/>
        <n v="23840.3"/>
        <n v="2025.36"/>
        <n v="104.4"/>
        <n v="16512.099999999999"/>
        <n v="23278.400000000001"/>
        <n v="1198.81"/>
        <n v="4101.33"/>
        <n v="2483.1999999999998"/>
        <n v="278.39999999999998"/>
        <n v="6843.42"/>
        <n v="7683.84"/>
        <n v="49589.4"/>
        <n v="6090"/>
        <n v="5628.39"/>
        <n v="32448.6"/>
        <n v="37670.6"/>
        <n v="24740"/>
        <n v="3964.88"/>
        <n v="4519.4799999999996"/>
        <n v="3496.68"/>
        <n v="27183.1"/>
        <n v="3016"/>
        <n v="4856.92"/>
        <n v="245.92"/>
        <n v="9713.84"/>
        <n v="16190"/>
        <n v="28777.1"/>
        <n v="371.2"/>
        <n v="4939.46"/>
        <n v="4982.5600000000004"/>
        <n v="4901.1899999999996"/>
        <n v="5813.92"/>
        <n v="13386.4"/>
        <n v="22480.799999999999"/>
        <n v="5595.84"/>
        <n v="4390.95"/>
        <n v="112706"/>
        <n v="52807"/>
        <n v="6487.02"/>
        <n v="5795.36"/>
        <n v="628.49"/>
        <n v="5950.8"/>
        <n v="26519.599999999999"/>
        <n v="31356.9"/>
        <n v="71625.8"/>
        <n v="11453.1"/>
        <n v="14961.6"/>
        <n v="46547.3"/>
        <n v="12685.5"/>
        <n v="34757.4"/>
        <n v="7265.12"/>
        <n v="5469.4"/>
        <n v="76686.600000000006"/>
        <n v="7433.28"/>
        <n v="2544.58"/>
        <n v="19340.599999999999"/>
        <n v="628.72"/>
        <n v="31888.400000000001"/>
        <n v="22299.8"/>
        <n v="74855.600000000006"/>
        <n v="10307.700000000001"/>
        <n v="120700"/>
        <n v="121488"/>
        <n v="26189.3"/>
        <n v="16059"/>
        <n v="4978.72"/>
        <n v="11254.4"/>
        <n v="2862.88"/>
        <n v="20156.099999999999"/>
        <n v="20971.599999999999"/>
        <n v="3618.29"/>
        <n v="15859.5"/>
        <n v="27510.7"/>
        <n v="255.2"/>
        <n v="6097.93"/>
        <n v="6519.2"/>
        <n v="8463.36"/>
        <n v="925.68"/>
        <n v="41105.199999999997"/>
        <n v="305011"/>
        <n v="8630.4"/>
        <n v="23237.1"/>
        <n v="2866.41"/>
        <n v="1431.67"/>
        <n v="6374.2"/>
        <n v="646.92999999999995"/>
        <n v="4014.76"/>
        <n v="12628.9"/>
        <n v="7517.96"/>
        <n v="27844.6"/>
        <n v="2291"/>
        <n v="8426.24"/>
        <n v="35625.9"/>
        <n v="45349"/>
        <n v="3791.17"/>
        <n v="5870.64"/>
        <n v="11355.4"/>
        <n v="96464.3"/>
        <n v="15757.4"/>
        <n v="11974.7"/>
        <n v="8197.6299999999992"/>
        <n v="9625.94"/>
        <n v="25754.799999999999"/>
        <n v="14995.8"/>
        <n v="10556"/>
        <n v="40368"/>
        <n v="4717.29"/>
        <n v="14790"/>
        <n v="19499.099999999999"/>
        <n v="63288.7"/>
        <n v="54953.5"/>
        <n v="13492.2"/>
        <n v="44743.5"/>
        <n v="47643.5"/>
        <n v="27214.9"/>
        <n v="8957.52"/>
        <n v="2555.48"/>
        <n v="73595.5"/>
        <n v="2691.2"/>
        <n v="58078.8"/>
        <n v="18912.599999999999"/>
        <n v="3364"/>
        <n v="754"/>
        <n v="21156"/>
        <n v="10504.9"/>
        <n v="2606.52"/>
        <n v="584.64"/>
        <n v="2562.02"/>
        <n v="24406.400000000001"/>
        <n v="20323.2"/>
        <n v="32944"/>
        <n v="5373.12"/>
        <n v="3085.6"/>
        <n v="23993"/>
        <n v="2994.46"/>
        <n v="61880.800000000003"/>
        <n v="29944.6"/>
        <n v="966.28"/>
        <n v="3878.43"/>
        <n v="1357.2"/>
        <n v="18161.599999999999"/>
        <n v="21793.9"/>
        <n v="3072.28"/>
        <n v="2561.64"/>
        <n v="32126.2"/>
        <n v="7715.01"/>
        <n v="57862.5"/>
        <n v="4164.3999999999996"/>
        <n v="41943.199999999997"/>
        <n v="50999.4"/>
        <n v="8607.85"/>
        <n v="21112"/>
        <n v="3897.6"/>
        <n v="3025.28"/>
        <n v="20462.400000000001"/>
        <n v="11856.4"/>
        <n v="11486.1"/>
        <n v="170.52"/>
        <n v="35817.4"/>
        <n v="44889.599999999999"/>
        <n v="19594.7"/>
        <n v="2611.6"/>
        <n v="50629.2"/>
        <n v="2115.84"/>
        <n v="18949.7"/>
        <n v="1607.36"/>
        <n v="6159.6"/>
        <n v="27434"/>
        <n v="7052.8"/>
        <n v="15626.3"/>
        <n v="15583.4"/>
        <n v="17528.2"/>
        <n v="1309.8699999999999"/>
        <n v="56277.3"/>
        <n v="8270.5499999999993"/>
        <n v="432.56"/>
        <n v="181758"/>
        <n v="5475.2"/>
        <n v="35442.300000000003"/>
        <n v="1654.07"/>
        <n v="86.51"/>
        <n v="50252"/>
        <n v="16344.4"/>
        <n v="22042.3"/>
        <n v="1226.1199999999999"/>
        <n v="9858.65"/>
        <n v="12059.3"/>
        <n v="35320.199999999997"/>
        <n v="5164.22"/>
        <n v="16617.7"/>
        <n v="12296"/>
        <n v="14171.3"/>
        <n v="12365.6"/>
        <n v="24588.2"/>
        <n v="2763.72"/>
        <n v="2837.68"/>
        <n v="4122.41"/>
        <n v="24809.1"/>
        <n v="4401.04"/>
        <n v="46980"/>
        <n v="6737.28"/>
        <n v="20608.5"/>
        <n v="8067.93"/>
        <n v="5893.86"/>
        <n v="4872"/>
        <n v="29134.9"/>
        <n v="30577.599999999999"/>
        <n v="16796.8"/>
        <n v="9658.16"/>
        <n v="9641.92"/>
        <n v="23377.1"/>
        <n v="3087.92"/>
        <n v="14412.1"/>
        <n v="5342.96"/>
        <n v="9106.26"/>
        <n v="28037.9"/>
        <n v="8608.15"/>
        <n v="40388"/>
        <n v="14158.9"/>
        <n v="21780.1"/>
        <n v="5303.52"/>
        <n v="7952.96"/>
        <n v="1325.88"/>
        <n v="2209.8000000000002"/>
        <n v="5932.24"/>
        <n v="20213"/>
        <n v="17185"/>
        <n v="11413.5"/>
        <n v="12806.6"/>
        <n v="6656.08"/>
        <n v="99553.8"/>
        <n v="1231.22"/>
        <n v="100354"/>
        <n v="6171.2"/>
        <n v="5368.48"/>
        <n v="618.74"/>
        <n v="37311.800000000003"/>
        <n v="34433.4"/>
        <n v="12261.2"/>
        <n v="14667"/>
        <n v="20467.599999999999"/>
        <n v="30550.7"/>
        <n v="6602.72"/>
        <n v="5482.42"/>
        <n v="5424.16"/>
        <n v="42872.4"/>
        <n v="17663.900000000001"/>
        <n v="8892.56"/>
        <n v="696"/>
        <n v="3152.6"/>
        <n v="37352.5"/>
        <n v="32158.6"/>
        <n v="19949.599999999999"/>
        <n v="22968"/>
        <n v="46968.4"/>
        <n v="25818.3"/>
        <n v="3009.68"/>
        <n v="25562.9"/>
        <n v="31320"/>
        <n v="26279.8"/>
        <n v="2222.5"/>
        <n v="5220"/>
        <n v="7267.4"/>
        <n v="6398.56"/>
        <n v="20315.400000000001"/>
        <n v="13956.7"/>
        <n v="2644.8"/>
        <n v="489.52"/>
        <n v="3793.2"/>
        <n v="2447.6"/>
        <n v="1258.5999999999999"/>
        <n v="17452.2"/>
        <n v="6023.06"/>
        <n v="9549.1200000000008"/>
        <n v="1285.21"/>
        <n v="203"/>
        <n v="4964.8"/>
        <n v="106606"/>
        <n v="88855.5"/>
        <n v="69256.600000000006"/>
        <n v="1085.7"/>
        <n v="88279.7"/>
        <n v="230439"/>
        <n v="48557.599999999999"/>
        <n v="9662.7999999999993"/>
        <n v="72589.100000000006"/>
        <n v="10022.299999999999"/>
        <n v="2278.2399999999998"/>
        <n v="5289.6"/>
        <n v="21634"/>
        <n v="48385.9"/>
        <n v="84941.2"/>
        <n v="101236"/>
        <n v="5765.2"/>
        <n v="89.2"/>
        <n v="7069.27"/>
        <n v="803.49"/>
        <n v="15255.7"/>
        <n v="33996.300000000003"/>
        <n v="318535"/>
        <n v="297632"/>
        <n v="68215.600000000006"/>
        <n v="13471"/>
        <n v="3422"/>
        <n v="67361.2"/>
        <n v="3938.2"/>
        <n v="20519.2"/>
        <n v="3700.4"/>
        <n v="2853.6"/>
        <n v="3195.8"/>
        <n v="1672.72"/>
        <n v="53133.3"/>
        <n v="810.84"/>
        <n v="1405.64"/>
        <n v="17316.400000000001"/>
        <n v="9759.2000000000007"/>
        <n v="50164.6"/>
        <n v="56524.4"/>
        <n v="62141.5"/>
        <n v="32712"/>
        <n v="56300.5"/>
        <n v="3526.4"/>
        <n v="2801.52"/>
        <n v="23281.9"/>
        <n v="16749.900000000001"/>
        <n v="14490.7"/>
        <n v="3712"/>
        <n v="289103"/>
        <n v="5614.4"/>
        <n v="528.96"/>
        <n v="5030.6899999999996"/>
        <n v="12075.6"/>
        <n v="61697.599999999999"/>
        <n v="22799.8"/>
        <n v="10761.2"/>
        <n v="42104.5"/>
        <n v="8241.34"/>
        <n v="13332.3"/>
        <n v="8157.56"/>
        <n v="4181.8"/>
        <n v="5556.4"/>
        <n v="9594.36"/>
        <n v="4326.8"/>
        <n v="1725.15"/>
        <n v="4162.6400000000003"/>
        <n v="37328.199999999997"/>
        <n v="38321.699999999997"/>
        <n v="5776.8"/>
        <n v="3828"/>
        <n v="6287.2"/>
        <n v="27096.1"/>
        <n v="4321.9799999999996"/>
        <n v="24715.599999999999"/>
        <n v="17492.8"/>
        <n v="44803.8"/>
        <n v="62296.6"/>
        <n v="98862.6"/>
        <n v="1392"/>
        <n v="28184.5"/>
        <n v="6506.44"/>
        <n v="30352.7"/>
        <n v="3488.11"/>
        <n v="3488.05"/>
        <n v="60575.9"/>
        <n v="5549.21"/>
        <n v="10490.1"/>
        <n v="1291.78"/>
        <n v="24576.7"/>
        <n v="14892"/>
        <n v="16492.3"/>
        <n v="9165.19"/>
        <n v="8097.96"/>
        <n v="3284.94"/>
        <n v="53884.3"/>
        <n v="2760.8"/>
        <n v="5684"/>
        <n v="4779.2"/>
        <n v="36581.599999999999"/>
        <n v="12145.2"/>
        <n v="1015"/>
        <n v="7575.64"/>
        <n v="2897.4"/>
        <n v="10707.4"/>
        <n v="12395.7"/>
        <n v="1131.5999999999999"/>
        <n v="21884.6"/>
        <n v="7616.45"/>
        <n v="1914"/>
        <n v="31608.799999999999"/>
        <n v="3387.57"/>
        <n v="2252.7199999999998"/>
        <n v="37215.800000000003"/>
        <n v="17281.599999999999"/>
        <n v="7371.1"/>
        <n v="3000.75"/>
        <n v="4702.5"/>
        <n v="9797.36"/>
        <n v="31347.8"/>
        <n v="3474.96"/>
        <n v="9230.51"/>
        <n v="53378.5"/>
        <n v="2488.1999999999998"/>
        <n v="1624"/>
        <n v="28942.5"/>
        <n v="6902"/>
        <n v="4264.16"/>
        <n v="28025.599999999999"/>
        <n v="54622"/>
        <n v="2807.2"/>
        <n v="22420.400000000001"/>
        <n v="10913.2"/>
        <n v="1303.8399999999999"/>
        <n v="35365.5"/>
        <n v="1642.56"/>
        <n v="39333.199999999997"/>
        <n v="5213.04"/>
        <n v="4491.5200000000004"/>
        <n v="6588.8"/>
        <n v="5520.67"/>
        <n v="10372.700000000001"/>
        <n v="4558.8"/>
        <n v="81429.899999999994"/>
        <n v="62107.5"/>
        <n v="1847.65"/>
        <n v="4991.4799999999996"/>
        <n v="990.64"/>
        <n v="92197.6"/>
        <n v="53835.8"/>
        <n v="18353.5"/>
        <n v="14063.3"/>
        <n v="19766.400000000001"/>
        <n v="27954.1"/>
        <n v="28119.1"/>
        <n v="1891.96"/>
        <n v="17555.400000000001"/>
        <n v="11497.9"/>
        <n v="18423.099999999999"/>
        <n v="2383.85"/>
        <n v="7941.36"/>
        <n v="17597.2"/>
        <n v="27394.5"/>
        <n v="10821"/>
        <n v="4328.42"/>
        <n v="36786.800000000003"/>
        <n v="22552.7"/>
        <n v="8473.7999999999993"/>
        <n v="27130.9"/>
        <n v="19262.7"/>
        <n v="2238.8000000000002"/>
        <n v="40745"/>
        <n v="9717.3700000000008"/>
        <n v="454.72"/>
        <n v="29390.9"/>
        <n v="14127.6"/>
        <n v="2893.04"/>
        <n v="55352.800000000003"/>
        <n v="2129.7600000000002"/>
        <n v="20574.400000000001"/>
        <n v="14418.8"/>
        <n v="10834.2"/>
        <n v="1630.15"/>
        <n v="29392"/>
        <n v="48986.8"/>
        <n v="30360.1"/>
        <n v="47990.5"/>
        <n v="11847.7"/>
        <n v="3065.58"/>
        <n v="6888.73"/>
        <n v="15183.9"/>
        <n v="12270.5"/>
        <n v="6485.56"/>
        <n v="25668.400000000001"/>
        <n v="21907.7"/>
        <n v="2455.7199999999998"/>
        <n v="26327.3"/>
        <n v="24715.4"/>
        <n v="2784"/>
        <n v="44718.400000000001"/>
        <n v="3757.48"/>
        <n v="11258.5"/>
        <n v="32427.8"/>
        <n v="23013.200000000001"/>
        <n v="31351.3"/>
        <n v="55354"/>
        <n v="62876.6"/>
        <n v="13036.9"/>
        <n v="53114"/>
        <n v="41211"/>
        <n v="1468.61"/>
        <n v="68118.899999999994"/>
        <n v="160978"/>
        <n v="10068.799999999999"/>
        <n v="33189.5"/>
        <n v="2484.2199999999998"/>
        <n v="42384"/>
        <n v="54493"/>
        <n v="7334.46"/>
        <n v="17482.5"/>
        <n v="33025.199999999997"/>
        <n v="1155.3599999999999"/>
        <n v="13036"/>
        <n v="5122.5600000000004"/>
        <n v="10022.4"/>
        <n v="498.8"/>
        <n v="1021.93"/>
        <n v="6293.23"/>
        <n v="4721.2"/>
        <n v="8777.7199999999993"/>
        <n v="8625.2800000000007"/>
        <n v="9175.6"/>
        <n v="2463.84"/>
        <n v="6855.32"/>
        <n v="69823.399999999994"/>
        <n v="334.08"/>
        <n v="18954.400000000001"/>
        <n v="64098.1"/>
        <n v="2382.4"/>
        <n v="68088.5"/>
        <n v="26664.5"/>
        <n v="6055.2"/>
        <n v="16008"/>
        <n v="1967.36"/>
        <n v="28076.6"/>
        <n v="63000"/>
        <n v="22209.3"/>
        <n v="89394.3"/>
        <n v="3132"/>
        <n v="29888.5"/>
        <n v="49464.7"/>
        <n v="22570.1"/>
        <n v="10746.2"/>
        <n v="2255.04"/>
        <n v="29394.400000000001"/>
        <n v="23312.799999999999"/>
        <n v="3333.84"/>
        <n v="2487.04"/>
        <n v="3515.96"/>
        <n v="887.4"/>
        <n v="22070.3"/>
        <n v="617.12"/>
        <n v="866.52"/>
        <n v="35822.699999999997"/>
        <n v="2923.2"/>
        <n v="18623.900000000001"/>
        <n v="16954.5"/>
        <n v="38828.699999999997"/>
        <n v="16288.7"/>
        <n v="55184.5"/>
        <n v="3607.5"/>
        <n v="2449.64"/>
        <n v="12209.2"/>
        <n v="11828.6"/>
        <n v="25511.8"/>
        <n v="18636.5"/>
        <n v="81706.7"/>
        <n v="1347.92"/>
        <n v="1888.48"/>
        <n v="6830.08"/>
        <n v="11078"/>
        <n v="32722.400000000001"/>
        <n v="57167.8"/>
        <n v="8161.76"/>
        <n v="1635.6"/>
        <n v="1496.4"/>
        <n v="15653"/>
        <n v="52234.8"/>
        <n v="4869.68"/>
        <n v="612.48"/>
        <n v="2231.84"/>
        <n v="7544.64"/>
        <n v="31038.1"/>
        <n v="11291.1"/>
        <n v="233988"/>
        <n v="5544.8"/>
        <n v="5116.6400000000003"/>
        <n v="2842.58"/>
        <n v="1421.29"/>
        <n v="39610.199999999997"/>
        <n v="16316.5"/>
        <n v="711.08"/>
        <n v="5085.4399999999996"/>
        <n v="45459.8"/>
        <n v="15915.2"/>
        <n v="27175.3"/>
        <n v="11352.2"/>
      </sharedItems>
    </cacheField>
    <cacheField name="Método_pago" numFmtId="0">
      <sharedItems containsBlank="1" containsMixedTypes="1" containsNumber="1" containsInteger="1" minValue="1" maxValue="3" count="11">
        <s v="PPD"/>
        <s v="PUE"/>
        <n v="3"/>
        <s v="TRANSFE"/>
        <n v="1"/>
        <s v="03 TRANS"/>
        <s v="99 OTROS"/>
        <m/>
        <s v="01 EFECTI"/>
        <s v="02 CHEQU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sa Aviles" refreshedDate="43704.476436921293" createdVersion="6" refreshedVersion="6" minRefreshableVersion="3" recordCount="1282" xr:uid="{2C333EFE-CFB6-614A-9F84-CDBD623B2A87}">
  <cacheSource type="worksheet">
    <worksheetSource ref="A1:I1283" sheet="Facturas emitidas"/>
  </cacheSource>
  <cacheFields count="9">
    <cacheField name="Nombre" numFmtId="0">
      <sharedItems count="54">
        <s v="BULKMATIC DE MEXICO, S. DE R.L. DE C.V."/>
        <s v="BRANDES INTERNATIONAL CO."/>
        <s v="COMERCIALIZADORA SUDIMEX, S. DE R. L. DE C.V."/>
        <s v="INDUSTRIAS MAVAEN S.A. DE C.V."/>
        <s v="JEBOL MEXICO SA DE C V"/>
        <s v="TRANSPORTADORA ALPURA S.A.P.I. DE C.V."/>
        <s v="BIMBO, S.A. DE C.V."/>
        <s v="BARCEL S.A. DE C.V."/>
        <s v="REMOLQUES Y CARROCERIAS CRUZ, S.A. DE C.V."/>
        <s v="GRANPORTUARIA SERVICIOS DEDICADOS SA  DE  C V"/>
        <s v="UTILITY TRAILERS DE MEXICO,  S.A.P.I.  DE C.V."/>
        <s v="PRAXAIR MEXICO, S. DE R.L. DE C.V."/>
        <s v="ESPECIALIZADOS EN REMOLQUES Y CARROCERIAS M"/>
        <s v="OMAR RODRIGO BRAMBILA TAMARIZ"/>
        <s v="TALLERES ZUBIRIA S.A. DE C.V."/>
        <s v="MECANICA TEK S.A. DE C.V."/>
        <s v="METRICA MOVIL S.A. DE C.V."/>
        <s v="AIRIBUZ S.A. DE C.V-"/>
        <s v="FRUEHAUF DE MEXICO, S.A. DE C.V."/>
        <s v="TRAILERS Y EQUIPO ALIADO, S.A. DE C.V."/>
        <s v="GRUPO INDUSTRIAL DAVASA, S.A. DE C.V."/>
        <s v="OPERBUS, S.A. DE C.V."/>
        <s v="FLETES HESA, S.A. DE C.V."/>
        <s v="NITROPET, S.A. DE C.V."/>
        <s v="SERVICIOS TRACTOMOTRICES, S.A. DE C.V."/>
        <s v="INDUSTRIAS Y MANUFACTURAS MUÑOZ, S.A. DE C.V."/>
        <s v="MUNDO GLOBAL DE REMOLQUES, S.A. DE C.V."/>
        <s v="AMERICAN SMARTRUCKS, S.A. DE C.V."/>
        <s v="ARTÍCULOS INDUSTRIALES VADE, S.DE R.L. DE C.V."/>
        <s v="CAMIONERA CATOSA S.A. DE C.V."/>
        <s v="INSPECCION Y CRIOGENIA ICSA, S.A. DE C.V."/>
        <s v="ZAPATA CAMIONES, S.A. DE C.V."/>
        <s v="EXA INDUSTRIAL S.A. DE C.V."/>
        <s v="TRAYLFER S.A. C.V."/>
        <s v="CESAR SUAREZ ALCANTARA"/>
        <s v="PAULO CESAR RUIZ CRUCES"/>
        <s v="RAUL GARCIA DE LOS ANGELES"/>
        <s v="TRANSPORTES GARCIAS TRUCKING, S.A. DE C.V."/>
        <s v="ENTORNO INDUSTRIAL, S.A. DE C.V."/>
        <s v="STOUGHTON REFACCIONES Y SERVICIO MEXICO, S.A."/>
        <s v="COMERCIALIZADORA DE REMOLQUES COREM S.A. DE"/>
        <s v="MARTHA ELENA MENDOZA MEDINA"/>
        <s v="PEDRO MORALES CERVANTES"/>
        <s v="TRANSPORTES MONROY SCHIAVON S.A. DE C.V."/>
        <s v="GERARDO MARTINEZ SEGURA"/>
        <s v="VALENTIN PATIÑO BARRIGA"/>
        <s v="ANGEL FLORES ARAUJO"/>
        <s v="TRANSPORTADORA EGOBA S.A. DE C.V."/>
        <s v="VIOLETA MORA HERNANDEZ"/>
        <s v="DE LA LUZ TRAILERS S.A. DE C.V."/>
        <s v="ELVIA AVILES BATREZ"/>
        <s v="REFACCIONARIA Y SERVICIOS DEL NORTE, S.A. DE C.V"/>
        <s v="ALEJANDRO CHAVEZ GONZALEZ"/>
        <s v="CORPORATIVO MACRO DIESEL, S.A. DE C.V."/>
      </sharedItems>
    </cacheField>
    <cacheField name="Estatus" numFmtId="0">
      <sharedItems/>
    </cacheField>
    <cacheField name="Fecha_de_elabor" numFmtId="14">
      <sharedItems containsSemiMixedTypes="0" containsNonDate="0" containsDate="1" containsString="0" minDate="2016-08-22T00:00:00" maxDate="2019-08-22T00:00:00"/>
    </cacheField>
    <cacheField name="Fecha_de_entr" numFmtId="14">
      <sharedItems containsDate="1" containsMixedTypes="1" minDate="2016-08-22T00:00:00" maxDate="2019-08-22T00:00:00"/>
    </cacheField>
    <cacheField name="Fecha_de_p" numFmtId="14">
      <sharedItems containsSemiMixedTypes="0" containsNonDate="0" containsDate="1" containsString="0" minDate="2016-08-30T00:00:00" maxDate="2019-09-30T00:00:00"/>
    </cacheField>
    <cacheField name="Fecha_de_cance" numFmtId="14">
      <sharedItems containsNonDate="0" containsString="0" containsBlank="1"/>
    </cacheField>
    <cacheField name="Subtotal" numFmtId="0">
      <sharedItems containsSemiMixedTypes="0" containsString="0" containsNumber="1" minValue="76.959999999999994" maxValue="456090"/>
    </cacheField>
    <cacheField name="Importe" numFmtId="0">
      <sharedItems containsSemiMixedTypes="0" containsString="0" containsNumber="1" minValue="89.2" maxValue="529064" count="1101">
        <n v="1691.28"/>
        <n v="105432"/>
        <n v="3555.4"/>
        <n v="1433.76"/>
        <n v="10594.5"/>
        <n v="81153.600000000006"/>
        <n v="36040"/>
        <n v="14495.3"/>
        <n v="2524.16"/>
        <n v="3501.58"/>
        <n v="45710.9"/>
        <n v="6204.84"/>
        <n v="52078.2"/>
        <n v="12277.4"/>
        <n v="16911.599999999999"/>
        <n v="45547.4"/>
        <n v="3260.76"/>
        <n v="36799.800000000003"/>
        <n v="39761.300000000003"/>
        <n v="19116.8"/>
        <n v="72080"/>
        <n v="21230.3"/>
        <n v="16013.8"/>
        <n v="60536.800000000003"/>
        <n v="207.64"/>
        <n v="82441.2"/>
        <n v="11716.8"/>
        <n v="13526.7"/>
        <n v="3118.08"/>
        <n v="2552"/>
        <n v="1020.8"/>
        <n v="64195.5"/>
        <n v="40423.599999999999"/>
        <n v="928"/>
        <n v="41220.6"/>
        <n v="55877.2"/>
        <n v="9860"/>
        <n v="7736.04"/>
        <n v="2900"/>
        <n v="29464.1"/>
        <n v="32345.4"/>
        <n v="26019.9"/>
        <n v="25523.4"/>
        <n v="3824.52"/>
        <n v="6403.2"/>
        <n v="7103.84"/>
        <n v="54408.6"/>
        <n v="14382.8"/>
        <n v="15119.4"/>
        <n v="80682.600000000006"/>
        <n v="7215.2"/>
        <n v="17329.099999999999"/>
        <n v="9353.08"/>
        <n v="40489.800000000003"/>
        <n v="25334.400000000001"/>
        <n v="54777.5"/>
        <n v="41217.1"/>
        <n v="52131.5"/>
        <n v="45947.6"/>
        <n v="52521.3"/>
        <n v="53561.8"/>
        <n v="52079.3"/>
        <n v="53329.8"/>
        <n v="53655.8"/>
        <n v="43312"/>
        <n v="51983"/>
        <n v="46282.8"/>
        <n v="8120"/>
        <n v="5800"/>
        <n v="6380"/>
        <n v="22388"/>
        <n v="28976.799999999999"/>
        <n v="6107.4"/>
        <n v="8066.64"/>
        <n v="13084.8"/>
        <n v="53766"/>
        <n v="33172.5"/>
        <n v="3761.18"/>
        <n v="16383.8"/>
        <n v="29053.3"/>
        <n v="102567"/>
        <n v="6380.58"/>
        <n v="74773.600000000006"/>
        <n v="21098"/>
        <n v="638"/>
        <n v="7522.37"/>
        <n v="10217.200000000001"/>
        <n v="50727.199999999997"/>
        <n v="8194.01"/>
        <n v="62865.599999999999"/>
        <n v="1716.8"/>
        <n v="3156.71"/>
        <n v="15828.3"/>
        <n v="81716.2"/>
        <n v="53261"/>
        <n v="765.6"/>
        <n v="21007.599999999999"/>
        <n v="7094.56"/>
        <n v="42062.9"/>
        <n v="2204"/>
        <n v="568.4"/>
        <n v="26704.3"/>
        <n v="34196.800000000003"/>
        <n v="23777.599999999999"/>
        <n v="974.4"/>
        <n v="19720"/>
        <n v="41710.1"/>
        <n v="42572"/>
        <n v="48985.599999999999"/>
        <n v="40299.5"/>
        <n v="56886.400000000001"/>
        <n v="48737.4"/>
        <n v="42465.2"/>
        <n v="56195"/>
        <n v="40243.800000000003"/>
        <n v="24204.5"/>
        <n v="1897.76"/>
        <n v="33257.199999999997"/>
        <n v="1443.04"/>
        <n v="3967.2"/>
        <n v="14189.1"/>
        <n v="113.68"/>
        <n v="4242.82"/>
        <n v="43665.599999999999"/>
        <n v="122245"/>
        <n v="1044"/>
        <n v="11748.4"/>
        <n v="27871.3"/>
        <n v="27286.6"/>
        <n v="33597.599999999999"/>
        <n v="17098.400000000001"/>
        <n v="13485.9"/>
        <n v="37796.199999999997"/>
        <n v="2295.41"/>
        <n v="32581.200000000001"/>
        <n v="5411.72"/>
        <n v="99927"/>
        <n v="39334.1"/>
        <n v="169.96"/>
        <n v="11619.9"/>
        <n v="6786"/>
        <n v="7146.76"/>
        <n v="7198.96"/>
        <n v="9554.92"/>
        <n v="16873.3"/>
        <n v="56350.400000000001"/>
        <n v="8677.9599999999991"/>
        <n v="15943"/>
        <n v="16639"/>
        <n v="17207.400000000001"/>
        <n v="16401.2"/>
        <n v="25912"/>
        <n v="34666.6"/>
        <n v="24378.2"/>
        <n v="5892.15"/>
        <n v="7797.52"/>
        <n v="8740.6"/>
        <n v="6670"/>
        <n v="8271.9599999999991"/>
        <n v="15523.1"/>
        <n v="8698.84"/>
        <n v="15555.6"/>
        <n v="9278.84"/>
        <n v="8768.44"/>
        <n v="8346.2000000000007"/>
        <n v="16453.400000000001"/>
        <n v="23711.5"/>
        <n v="8799.76"/>
        <n v="46901.1"/>
        <n v="17561.2"/>
        <n v="18038.2"/>
        <n v="580"/>
        <n v="36805.599999999999"/>
        <n v="16136.7"/>
        <n v="24074.6"/>
        <n v="16736.400000000001"/>
        <n v="34065.699999999997"/>
        <n v="17321.099999999999"/>
        <n v="17274.7"/>
        <n v="15794.5"/>
        <n v="16415.099999999999"/>
        <n v="15876.9"/>
        <n v="9310.16"/>
        <n v="8324.16"/>
        <n v="12832.2"/>
        <n v="10347.9"/>
        <n v="4359.33"/>
        <n v="30404.7"/>
        <n v="2553.9499999999998"/>
        <n v="3104.37"/>
        <n v="74620.399999999994"/>
        <n v="2714.4"/>
        <n v="11114"/>
        <n v="19696.8"/>
        <n v="2227.1999999999998"/>
        <n v="4406.74"/>
        <n v="34838.199999999997"/>
        <n v="16847.099999999999"/>
        <n v="8050.4"/>
        <n v="52181.4"/>
        <n v="31031.1"/>
        <n v="464"/>
        <n v="3021.1"/>
        <n v="14409.6"/>
        <n v="17667.7"/>
        <n v="26086.1"/>
        <n v="23416.9"/>
        <n v="23521.3"/>
        <n v="17212"/>
        <n v="26739.1"/>
        <n v="24162.799999999999"/>
        <n v="3426.64"/>
        <n v="3692.98"/>
        <n v="4352.4399999999996"/>
        <n v="3099.46"/>
        <n v="1510.55"/>
        <n v="7784.76"/>
        <n v="47213.1"/>
        <n v="4794.28"/>
        <n v="1713.32"/>
        <n v="9708.5"/>
        <n v="8719.7199999999993"/>
        <n v="8313.7199999999993"/>
        <n v="32934.699999999997"/>
        <n v="20714.099999999999"/>
        <n v="58389.7"/>
        <n v="24214.6"/>
        <n v="29058"/>
        <n v="26100"/>
        <n v="9588.56"/>
        <n v="44362.400000000001"/>
        <n v="21436.6"/>
        <n v="12818"/>
        <n v="6243.12"/>
        <n v="16369.9"/>
        <n v="15963.9"/>
        <n v="18174.8"/>
        <n v="8325.32"/>
        <n v="8872.84"/>
        <n v="8303.2800000000007"/>
        <n v="8190.76"/>
        <n v="8962.16"/>
        <n v="8132.76"/>
        <n v="9448.2000000000007"/>
        <n v="7782.44"/>
        <n v="8847.32"/>
        <n v="8287.0400000000009"/>
        <n v="8942.44"/>
        <n v="7656"/>
        <n v="9754.44"/>
        <n v="8943.6"/>
        <n v="9522.44"/>
        <n v="8689.56"/>
        <n v="9048"/>
        <n v="8070.12"/>
        <n v="8004"/>
        <n v="8091"/>
        <n v="8218.6"/>
        <n v="8234.84"/>
        <n v="8639.68"/>
        <n v="30087.8"/>
        <n v="46337.3"/>
        <n v="2309.0500000000002"/>
        <n v="3677.39"/>
        <n v="6509.92"/>
        <n v="3092.92"/>
        <n v="16759.599999999999"/>
        <n v="33399.800000000003"/>
        <n v="25974.7"/>
        <n v="16025.4"/>
        <n v="7122.4"/>
        <n v="8807.6"/>
        <n v="16055.5"/>
        <n v="31953.3"/>
        <n v="609.27"/>
        <n v="12064"/>
        <n v="4113.3599999999997"/>
        <n v="21288.2"/>
        <n v="8287.41"/>
        <n v="34710.6"/>
        <n v="32933.5"/>
        <n v="12672.6"/>
        <n v="23079.3"/>
        <n v="13660.1"/>
        <n v="19177.099999999999"/>
        <n v="948.88"/>
        <n v="40090.699999999997"/>
        <n v="14252.9"/>
        <n v="45694.7"/>
        <n v="8782.36"/>
        <n v="46049.599999999999"/>
        <n v="16787.5"/>
        <n v="31925.5"/>
        <n v="23196.5"/>
        <n v="21196.6"/>
        <n v="13816.7"/>
        <n v="49230.400000000001"/>
        <n v="520.84"/>
        <n v="16896.5"/>
        <n v="50147.1"/>
        <n v="4807.04"/>
        <n v="4472.01"/>
        <n v="2269.38"/>
        <n v="3203.83"/>
        <n v="4538.76"/>
        <n v="9611.48"/>
        <n v="16019.1"/>
        <n v="10011.9"/>
        <n v="6407.65"/>
        <n v="21344"/>
        <n v="15787.6"/>
        <n v="30987"/>
        <n v="8837.9500000000007"/>
        <n v="2919.49"/>
        <n v="31799.9"/>
        <n v="14500"/>
        <n v="25201.3"/>
        <n v="9450.5"/>
        <n v="11170.8"/>
        <n v="8847.27"/>
        <n v="23190.5"/>
        <n v="7730.19"/>
        <n v="1352.56"/>
        <n v="602.33000000000004"/>
        <n v="7484.81"/>
        <n v="4906.8"/>
        <n v="25098.9"/>
        <n v="1991.95"/>
        <n v="26912"/>
        <n v="52447"/>
        <n v="14187.2"/>
        <n v="13021"/>
        <n v="89005.5"/>
        <n v="12926.4"/>
        <n v="36377.599999999999"/>
        <n v="44049.8"/>
        <n v="33222.400000000001"/>
        <n v="10668.2"/>
        <n v="35252.400000000001"/>
        <n v="4454.3999999999996"/>
        <n v="2693.52"/>
        <n v="8121.5"/>
        <n v="6638.83"/>
        <n v="28337.200000000001"/>
        <n v="16707.7"/>
        <n v="18588.7"/>
        <n v="20248.400000000001"/>
        <n v="11275.2"/>
        <n v="8630.48"/>
        <n v="8654.41"/>
        <n v="1795.68"/>
        <n v="20301.400000000001"/>
        <n v="33104"/>
        <n v="56573.2"/>
        <n v="16873.7"/>
        <n v="13263.1"/>
        <n v="2813.58"/>
        <n v="30081.1"/>
        <n v="8080.56"/>
        <n v="2020.14"/>
        <n v="41076.1"/>
        <n v="43750.5"/>
        <n v="2262"/>
        <n v="12992"/>
        <n v="13131.2"/>
        <n v="10614"/>
        <n v="42567.3"/>
        <n v="8737.1200000000008"/>
        <n v="4688.8500000000004"/>
        <n v="4198.97"/>
        <n v="28552.9"/>
        <n v="20131.7"/>
        <n v="32611.9"/>
        <n v="23700.799999999999"/>
        <n v="26486.7"/>
        <n v="16075"/>
        <n v="32668.5"/>
        <n v="40388.400000000001"/>
        <n v="33717.699999999997"/>
        <n v="11878.4"/>
        <n v="14520.8"/>
        <n v="529064"/>
        <n v="9069.16"/>
        <n v="4245.6000000000004"/>
        <n v="20211.8"/>
        <n v="4414.32"/>
        <n v="26789.3"/>
        <n v="41137.300000000003"/>
        <n v="18280.599999999999"/>
        <n v="747.04"/>
        <n v="9396"/>
        <n v="34656.1"/>
        <n v="24986.400000000001"/>
        <n v="31843.599999999999"/>
        <n v="8713.92"/>
        <n v="6763.4"/>
        <n v="18548.400000000001"/>
        <n v="15810.8"/>
        <n v="6386.15"/>
        <n v="17469.599999999999"/>
        <n v="6496"/>
        <n v="8226.7199999999993"/>
        <n v="8720.8799999999992"/>
        <n v="145437"/>
        <n v="4297.8"/>
        <n v="4855.67"/>
        <n v="12068.4"/>
        <n v="24820.400000000001"/>
        <n v="20082.599999999999"/>
        <n v="33942.5"/>
        <n v="4313.53"/>
        <n v="7919.92"/>
        <n v="3229.25"/>
        <n v="6317.08"/>
        <n v="1697.13"/>
        <n v="5384.81"/>
        <n v="2988.16"/>
        <n v="44936.1"/>
        <n v="510.4"/>
        <n v="16123.5"/>
        <n v="33073.9"/>
        <n v="52798.5"/>
        <n v="52775.3"/>
        <n v="25849.4"/>
        <n v="1450"/>
        <n v="13502.4"/>
        <n v="82494.600000000006"/>
        <n v="55102.3"/>
        <n v="3248"/>
        <n v="6595.76"/>
        <n v="4259.5200000000004"/>
        <n v="5252.48"/>
        <n v="17244.3"/>
        <n v="88936.6"/>
        <n v="1607.76"/>
        <n v="5057.6000000000004"/>
        <n v="1055.5999999999999"/>
        <n v="19372"/>
        <n v="7405.44"/>
        <n v="42805.8"/>
        <n v="1397.29"/>
        <n v="15627.5"/>
        <n v="29234.3"/>
        <n v="5674.72"/>
        <n v="32873.199999999997"/>
        <n v="11852.8"/>
        <n v="3027.6"/>
        <n v="51766.1"/>
        <n v="102078"/>
        <n v="1541.99"/>
        <n v="24561.599999999999"/>
        <n v="4692.05"/>
        <n v="8723.25"/>
        <n v="7878.72"/>
        <n v="4698"/>
        <n v="30772.400000000001"/>
        <n v="4825.6000000000004"/>
        <n v="30561.3"/>
        <n v="15937.9"/>
        <n v="27956.7"/>
        <n v="15560.3"/>
        <n v="11601.2"/>
        <n v="95349.3"/>
        <n v="41211.300000000003"/>
        <n v="20219.599999999999"/>
        <n v="4375.3999999999996"/>
        <n v="29266.799999999999"/>
        <n v="3883.4"/>
        <n v="2544.3000000000002"/>
        <n v="15171.3"/>
        <n v="14968.6"/>
        <n v="13372.4"/>
        <n v="16088.7"/>
        <n v="48955.4"/>
        <n v="8857.76"/>
        <n v="10851.3"/>
        <n v="17221.3"/>
        <n v="152006"/>
        <n v="142610"/>
        <n v="14488.4"/>
        <n v="136805"/>
        <n v="128349"/>
        <n v="29640.6"/>
        <n v="22017.5"/>
        <n v="10244.1"/>
        <n v="7770.67"/>
        <n v="7683.11"/>
        <n v="16022.8"/>
        <n v="7662.75"/>
        <n v="256568"/>
        <n v="7358.67"/>
        <n v="30053.200000000001"/>
        <n v="12180"/>
        <n v="18454.5"/>
        <n v="19829"/>
        <n v="3393"/>
        <n v="3674.88"/>
        <n v="2030"/>
        <n v="21797.5"/>
        <n v="909.44"/>
        <n v="9589.7199999999993"/>
        <n v="50058.6"/>
        <n v="18374.400000000001"/>
        <n v="4118"/>
        <n v="135194"/>
        <n v="8032.68"/>
        <n v="395723"/>
        <n v="2774.72"/>
        <n v="12052.4"/>
        <n v="6285.32"/>
        <n v="13746"/>
        <n v="14864.2"/>
        <n v="9216.08"/>
        <n v="25690.799999999999"/>
        <n v="100466"/>
        <n v="15200.6"/>
        <n v="19413.7"/>
        <n v="4655.0600000000004"/>
        <n v="3887.86"/>
        <n v="9918.1299999999992"/>
        <n v="1306.3900000000001"/>
        <n v="6691"/>
        <n v="21283.599999999999"/>
        <n v="7871.76"/>
        <n v="29000"/>
        <n v="30160"/>
        <n v="17031.099999999999"/>
        <n v="7748.8"/>
        <n v="9871.02"/>
        <n v="12108.4"/>
        <n v="406"/>
        <n v="7367.16"/>
        <n v="28380.5"/>
        <n v="8262.02"/>
        <n v="11369.6"/>
        <n v="36956.9"/>
        <n v="13374"/>
        <n v="45129"/>
        <n v="51218.6"/>
        <n v="243740"/>
        <n v="59068.6"/>
        <n v="4817.57"/>
        <n v="19902"/>
        <n v="10105.9"/>
        <n v="28401.4"/>
        <n v="12973.4"/>
        <n v="939.6"/>
        <n v="68687.5"/>
        <n v="3120.4"/>
        <n v="23840.3"/>
        <n v="2025.36"/>
        <n v="104.4"/>
        <n v="16512.099999999999"/>
        <n v="23278.400000000001"/>
        <n v="1198.81"/>
        <n v="4101.33"/>
        <n v="2483.1999999999998"/>
        <n v="278.39999999999998"/>
        <n v="6843.42"/>
        <n v="7683.84"/>
        <n v="49589.4"/>
        <n v="6090"/>
        <n v="5628.39"/>
        <n v="32448.6"/>
        <n v="37670.6"/>
        <n v="24740"/>
        <n v="3964.88"/>
        <n v="4519.4799999999996"/>
        <n v="3496.68"/>
        <n v="27183.1"/>
        <n v="3016"/>
        <n v="4856.92"/>
        <n v="9713.84"/>
        <n v="16190"/>
        <n v="28777.1"/>
        <n v="371.2"/>
        <n v="4939.46"/>
        <n v="4982.5600000000004"/>
        <n v="4901.1899999999996"/>
        <n v="5813.92"/>
        <n v="13386.4"/>
        <n v="22480.799999999999"/>
        <n v="5595.84"/>
        <n v="4390.95"/>
        <n v="112706"/>
        <n v="52807"/>
        <n v="6487.02"/>
        <n v="5795.36"/>
        <n v="628.49"/>
        <n v="5950.8"/>
        <n v="26519.599999999999"/>
        <n v="31356.9"/>
        <n v="71625.8"/>
        <n v="11453.1"/>
        <n v="14961.6"/>
        <n v="46547.3"/>
        <n v="12685.5"/>
        <n v="34757.4"/>
        <n v="7265.12"/>
        <n v="5469.4"/>
        <n v="76686.600000000006"/>
        <n v="7433.28"/>
        <n v="2544.58"/>
        <n v="19340.599999999999"/>
        <n v="628.72"/>
        <n v="31888.400000000001"/>
        <n v="22299.8"/>
        <n v="74855.600000000006"/>
        <n v="10307.700000000001"/>
        <n v="120700"/>
        <n v="26189.3"/>
        <n v="16059"/>
        <n v="4978.72"/>
        <n v="11254.4"/>
        <n v="20156.099999999999"/>
        <n v="3618.29"/>
        <n v="15859.5"/>
        <n v="27510.7"/>
        <n v="255.2"/>
        <n v="6097.93"/>
        <n v="6519.2"/>
        <n v="8463.36"/>
        <n v="925.68"/>
        <n v="41105.199999999997"/>
        <n v="305011"/>
        <n v="8630.4"/>
        <n v="20971.599999999999"/>
        <n v="23237.1"/>
        <n v="2866.41"/>
        <n v="1431.67"/>
        <n v="6374.2"/>
        <n v="646.92999999999995"/>
        <n v="4014.76"/>
        <n v="12628.9"/>
        <n v="27844.6"/>
        <n v="2291"/>
        <n v="8426.24"/>
        <n v="45349"/>
        <n v="3791.17"/>
        <n v="5870.64"/>
        <n v="11355.4"/>
        <n v="96464.3"/>
        <n v="15757.4"/>
        <n v="11974.7"/>
        <n v="8197.6299999999992"/>
        <n v="9625.94"/>
        <n v="25754.799999999999"/>
        <n v="14995.8"/>
        <n v="10556"/>
        <n v="40368"/>
        <n v="4717.29"/>
        <n v="14790"/>
        <n v="19499.099999999999"/>
        <n v="63288.7"/>
        <n v="54953.5"/>
        <n v="13492.2"/>
        <n v="44743.5"/>
        <n v="47643.5"/>
        <n v="27214.9"/>
        <n v="8957.52"/>
        <n v="2555.48"/>
        <n v="73595.5"/>
        <n v="2691.2"/>
        <n v="58078.8"/>
        <n v="18912.599999999999"/>
        <n v="3364"/>
        <n v="754"/>
        <n v="21156"/>
        <n v="10504.9"/>
        <n v="2606.52"/>
        <n v="584.64"/>
        <n v="2562.02"/>
        <n v="24406.400000000001"/>
        <n v="20323.2"/>
        <n v="32944"/>
        <n v="5373.12"/>
        <n v="3085.6"/>
        <n v="23993"/>
        <n v="2994.46"/>
        <n v="61880.800000000003"/>
        <n v="29944.6"/>
        <n v="966.28"/>
        <n v="3878.43"/>
        <n v="1357.2"/>
        <n v="18161.599999999999"/>
        <n v="21793.9"/>
        <n v="3072.28"/>
        <n v="2561.64"/>
        <n v="32126.2"/>
        <n v="7715.01"/>
        <n v="57862.5"/>
        <n v="4164.3999999999996"/>
        <n v="50999.4"/>
        <n v="8607.85"/>
        <n v="21112"/>
        <n v="3897.6"/>
        <n v="41943.199999999997"/>
        <n v="3025.28"/>
        <n v="20462.400000000001"/>
        <n v="11856.4"/>
        <n v="11486.1"/>
        <n v="170.52"/>
        <n v="35817.4"/>
        <n v="44889.599999999999"/>
        <n v="19594.7"/>
        <n v="2611.6"/>
        <n v="50629.2"/>
        <n v="2115.84"/>
        <n v="18949.7"/>
        <n v="1607.36"/>
        <n v="6159.6"/>
        <n v="27434"/>
        <n v="7052.8"/>
        <n v="15626.3"/>
        <n v="15583.4"/>
        <n v="17528.2"/>
        <n v="1309.8699999999999"/>
        <n v="56277.3"/>
        <n v="8270.5499999999993"/>
        <n v="181758"/>
        <n v="5475.2"/>
        <n v="35442.300000000003"/>
        <n v="1654.07"/>
        <n v="50252"/>
        <n v="16344.4"/>
        <n v="22042.3"/>
        <n v="1226.1199999999999"/>
        <n v="9858.65"/>
        <n v="12059.3"/>
        <n v="35320.199999999997"/>
        <n v="5164.22"/>
        <n v="16617.7"/>
        <n v="12296"/>
        <n v="14171.3"/>
        <n v="12365.6"/>
        <n v="24588.2"/>
        <n v="2763.72"/>
        <n v="2837.68"/>
        <n v="4122.41"/>
        <n v="24809.1"/>
        <n v="4401.04"/>
        <n v="46980"/>
        <n v="6737.28"/>
        <n v="8067.93"/>
        <n v="5893.86"/>
        <n v="4872"/>
        <n v="30577.599999999999"/>
        <n v="16796.8"/>
        <n v="9658.16"/>
        <n v="9641.92"/>
        <n v="23377.1"/>
        <n v="3087.92"/>
        <n v="14412.1"/>
        <n v="5342.96"/>
        <n v="9106.26"/>
        <n v="28037.9"/>
        <n v="8608.15"/>
        <n v="40388"/>
        <n v="14158.9"/>
        <n v="21780.1"/>
        <n v="5303.52"/>
        <n v="1325.88"/>
        <n v="2209.8000000000002"/>
        <n v="5932.24"/>
        <n v="20213"/>
        <n v="17185"/>
        <n v="11413.5"/>
        <n v="12806.6"/>
        <n v="6656.08"/>
        <n v="99553.8"/>
        <n v="1231.22"/>
        <n v="6171.2"/>
        <n v="5368.48"/>
        <n v="618.74"/>
        <n v="37311.800000000003"/>
        <n v="34433.4"/>
        <n v="12261.2"/>
        <n v="14667"/>
        <n v="20467.599999999999"/>
        <n v="30550.7"/>
        <n v="6602.72"/>
        <n v="5482.42"/>
        <n v="5424.16"/>
        <n v="42872.4"/>
        <n v="17663.900000000001"/>
        <n v="8892.56"/>
        <n v="696"/>
        <n v="3152.6"/>
        <n v="37352.5"/>
        <n v="32158.6"/>
        <n v="19949.599999999999"/>
        <n v="22968"/>
        <n v="46968.4"/>
        <n v="25818.3"/>
        <n v="3009.68"/>
        <n v="25562.9"/>
        <n v="31320"/>
        <n v="2222.5"/>
        <n v="5220"/>
        <n v="7267.4"/>
        <n v="6398.56"/>
        <n v="20315.400000000001"/>
        <n v="13956.7"/>
        <n v="2644.8"/>
        <n v="489.52"/>
        <n v="3793.2"/>
        <n v="1258.5999999999999"/>
        <n v="17452.2"/>
        <n v="6023.06"/>
        <n v="9549.1200000000008"/>
        <n v="1285.21"/>
        <n v="203"/>
        <n v="4964.8"/>
        <n v="106606"/>
        <n v="88855.5"/>
        <n v="69256.600000000006"/>
        <n v="1085.7"/>
        <n v="88279.7"/>
        <n v="230439"/>
        <n v="48557.599999999999"/>
        <n v="9662.7999999999993"/>
        <n v="72589.100000000006"/>
        <n v="10022.299999999999"/>
        <n v="2278.2399999999998"/>
        <n v="5289.6"/>
        <n v="21634"/>
        <n v="48385.9"/>
        <n v="84941.2"/>
        <n v="101236"/>
        <n v="89.2"/>
        <n v="7069.27"/>
        <n v="803.49"/>
        <n v="15255.7"/>
        <n v="33996.300000000003"/>
        <n v="318535"/>
        <n v="297632"/>
        <n v="68215.600000000006"/>
        <n v="13471"/>
        <n v="3422"/>
        <n v="67361.2"/>
        <n v="3938.2"/>
        <n v="20519.2"/>
        <n v="3700.4"/>
        <n v="2853.6"/>
        <n v="3195.8"/>
        <n v="1672.72"/>
        <n v="53133.3"/>
        <n v="810.84"/>
        <n v="1405.64"/>
        <n v="17316.400000000001"/>
        <n v="9759.2000000000007"/>
        <n v="50164.6"/>
        <n v="56524.4"/>
        <n v="62141.5"/>
        <n v="32712"/>
        <n v="56300.5"/>
        <n v="3526.4"/>
        <n v="2801.52"/>
        <n v="23281.9"/>
        <n v="16749.900000000001"/>
        <n v="14490.7"/>
        <n v="289103"/>
        <n v="5614.4"/>
        <n v="528.96"/>
        <n v="5030.6899999999996"/>
        <n v="12075.6"/>
        <n v="61697.599999999999"/>
        <n v="22799.8"/>
        <n v="10761.2"/>
        <n v="42104.5"/>
        <n v="8241.34"/>
        <n v="13332.3"/>
        <n v="8157.56"/>
        <n v="4181.8"/>
        <n v="5556.4"/>
        <n v="9594.36"/>
        <n v="4326.8"/>
        <n v="1725.15"/>
        <n v="4162.6400000000003"/>
        <n v="37328.199999999997"/>
        <n v="38321.699999999997"/>
        <n v="5776.8"/>
        <n v="3828"/>
        <n v="6287.2"/>
        <n v="27096.1"/>
        <n v="4321.9799999999996"/>
        <n v="24715.599999999999"/>
        <n v="17492.8"/>
        <n v="44803.8"/>
        <n v="98862.6"/>
        <n v="1392"/>
        <n v="28184.5"/>
        <n v="6506.44"/>
        <n v="30352.7"/>
        <n v="3488.11"/>
        <n v="60575.9"/>
        <n v="5549.21"/>
        <n v="10490.1"/>
        <n v="1291.78"/>
        <n v="24576.7"/>
        <n v="14892"/>
        <n v="16492.3"/>
        <n v="9165.19"/>
        <n v="8097.96"/>
        <n v="3284.94"/>
        <n v="53884.3"/>
        <n v="2760.8"/>
        <n v="5684"/>
        <n v="4779.2"/>
        <n v="36581.599999999999"/>
        <n v="12145.2"/>
        <n v="1015"/>
        <n v="2897.4"/>
        <n v="10707.4"/>
        <n v="12395.7"/>
        <n v="1131.5999999999999"/>
        <n v="21884.6"/>
        <n v="7616.45"/>
        <n v="1914"/>
        <n v="31608.799999999999"/>
        <n v="3387.57"/>
        <n v="2252.7199999999998"/>
        <n v="37215.800000000003"/>
        <n v="17281.599999999999"/>
        <n v="7371.1"/>
        <n v="3000.75"/>
        <n v="4702.5"/>
        <n v="9797.36"/>
        <n v="31347.8"/>
        <n v="3474.96"/>
        <n v="9230.51"/>
        <n v="53378.5"/>
        <n v="2488.1999999999998"/>
        <n v="1624"/>
        <n v="28942.5"/>
        <n v="6902"/>
        <n v="4264.16"/>
        <n v="28025.599999999999"/>
        <n v="54622"/>
        <n v="2807.2"/>
        <n v="22420.400000000001"/>
        <n v="10913.2"/>
        <n v="35365.5"/>
        <n v="1642.56"/>
        <n v="39333.199999999997"/>
        <n v="5213.04"/>
        <n v="4491.5200000000004"/>
        <n v="6588.8"/>
        <n v="5520.67"/>
        <n v="10372.700000000001"/>
        <n v="4558.8"/>
        <n v="81429.899999999994"/>
        <n v="62107.5"/>
        <n v="1847.65"/>
        <n v="4991.4799999999996"/>
        <n v="990.64"/>
        <n v="92197.6"/>
        <n v="53835.8"/>
        <n v="18353.5"/>
        <n v="14063.3"/>
        <n v="19766.400000000001"/>
        <n v="27954.1"/>
        <n v="1891.96"/>
        <n v="17555.400000000001"/>
        <n v="11497.9"/>
        <n v="18423.099999999999"/>
        <n v="7941.36"/>
        <n v="27394.5"/>
        <n v="10821"/>
        <n v="4328.42"/>
        <n v="36786.800000000003"/>
        <n v="22552.7"/>
        <n v="8473.7999999999993"/>
        <n v="27130.9"/>
        <n v="19262.7"/>
        <n v="2238.8000000000002"/>
        <n v="40745"/>
        <n v="9717.3700000000008"/>
        <n v="29390.9"/>
        <n v="2893.04"/>
        <n v="55352.800000000003"/>
        <n v="2129.7600000000002"/>
        <n v="20574.400000000001"/>
        <n v="14418.8"/>
        <n v="10834.2"/>
        <n v="1630.15"/>
        <n v="29392"/>
        <n v="48986.8"/>
        <n v="30360.1"/>
        <n v="47990.5"/>
        <n v="11847.7"/>
        <n v="3065.58"/>
        <n v="6888.73"/>
        <n v="15183.9"/>
        <n v="12270.5"/>
        <n v="6485.56"/>
        <n v="25668.400000000001"/>
        <n v="21907.7"/>
        <n v="2455.7199999999998"/>
        <n v="24715.4"/>
        <n v="2784"/>
        <n v="44718.400000000001"/>
        <n v="3757.48"/>
        <n v="11258.5"/>
        <n v="32427.8"/>
        <n v="23013.200000000001"/>
        <n v="31351.3"/>
        <n v="55354"/>
        <n v="62876.6"/>
        <n v="13036.9"/>
        <n v="53114"/>
        <n v="41211"/>
        <n v="1468.61"/>
        <n v="68118.899999999994"/>
        <n v="160978"/>
        <n v="10068.799999999999"/>
        <n v="33189.5"/>
        <n v="2484.2199999999998"/>
        <n v="42384"/>
        <n v="54493"/>
        <n v="7334.46"/>
        <n v="17482.5"/>
        <n v="33025.199999999997"/>
        <n v="1155.3599999999999"/>
        <n v="13036"/>
        <n v="5122.5600000000004"/>
        <n v="10022.4"/>
        <n v="498.8"/>
        <n v="1021.93"/>
        <n v="6293.23"/>
        <n v="4721.2"/>
        <n v="8625.2800000000007"/>
        <n v="9175.6"/>
        <n v="2463.84"/>
        <n v="6855.32"/>
        <n v="69823.399999999994"/>
        <n v="18954.400000000001"/>
        <n v="64098.1"/>
        <n v="2382.4"/>
        <n v="26664.5"/>
        <n v="6055.2"/>
        <n v="16008"/>
        <n v="1967.36"/>
        <n v="28076.6"/>
        <n v="63000"/>
        <n v="22209.3"/>
        <n v="89394.3"/>
        <n v="3132"/>
        <n v="29888.5"/>
        <n v="49464.7"/>
        <n v="22570.1"/>
        <n v="10746.2"/>
        <n v="2255.04"/>
        <n v="29394.400000000001"/>
        <n v="23312.799999999999"/>
        <n v="3333.84"/>
        <n v="2487.04"/>
        <n v="3515.96"/>
        <n v="887.4"/>
        <n v="22070.3"/>
        <n v="617.12"/>
        <n v="866.52"/>
        <n v="35822.699999999997"/>
        <n v="2923.2"/>
        <n v="18623.900000000001"/>
        <n v="16954.5"/>
        <n v="38828.699999999997"/>
        <n v="16288.7"/>
        <n v="55184.5"/>
        <n v="3607.5"/>
        <n v="2449.64"/>
        <n v="12209.2"/>
        <n v="25511.8"/>
        <n v="18636.5"/>
        <n v="81706.7"/>
        <n v="1347.92"/>
        <n v="11078"/>
        <n v="32722.400000000001"/>
        <n v="57167.8"/>
        <n v="1635.6"/>
        <n v="15653"/>
        <n v="52234.8"/>
        <n v="4869.68"/>
        <n v="612.48"/>
        <n v="2231.84"/>
        <n v="7544.64"/>
        <n v="31038.1"/>
        <n v="11291.1"/>
        <n v="233988"/>
        <n v="5544.8"/>
        <n v="5116.6400000000003"/>
        <n v="2842.58"/>
        <n v="1421.29"/>
        <n v="39610.199999999997"/>
        <n v="16316.5"/>
        <n v="711.08"/>
        <n v="5085.4399999999996"/>
        <n v="45459.8"/>
        <n v="15915.2"/>
        <n v="27175.3"/>
        <n v="11352.2"/>
      </sharedItems>
    </cacheField>
    <cacheField name="Método_pago" numFmtId="0">
      <sharedItems containsBlank="1" containsMixedTypes="1" containsNumber="1" containsInteger="1" minValue="1" maxValue="3" count="10">
        <s v="PPD"/>
        <s v="PUE"/>
        <s v="03 TRANS"/>
        <s v="99 OTROS"/>
        <m/>
        <s v="01 EFECTI"/>
        <s v="02 CHEQU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9">
  <r>
    <x v="0"/>
    <s v="Emitida"/>
    <d v="2019-08-21T00:00:00"/>
    <d v="2019-08-21T00:00:00"/>
    <x v="0"/>
    <m/>
    <n v="1458"/>
    <x v="0"/>
    <x v="0"/>
  </r>
  <r>
    <x v="1"/>
    <s v="Emitida"/>
    <d v="2019-08-21T00:00:00"/>
    <d v="2019-08-21T00:00:00"/>
    <x v="1"/>
    <m/>
    <n v="105432"/>
    <x v="1"/>
    <x v="0"/>
  </r>
  <r>
    <x v="2"/>
    <s v="Emitida"/>
    <d v="2019-08-21T00:00:00"/>
    <d v="2019-08-21T00:00:00"/>
    <x v="1"/>
    <m/>
    <n v="3065"/>
    <x v="2"/>
    <x v="0"/>
  </r>
  <r>
    <x v="0"/>
    <s v="Emitida"/>
    <d v="2019-08-20T00:00:00"/>
    <d v="2019-08-15T00:00:00"/>
    <x v="2"/>
    <m/>
    <n v="1236"/>
    <x v="3"/>
    <x v="0"/>
  </r>
  <r>
    <x v="0"/>
    <s v="Cancela"/>
    <d v="2019-08-20T00:00:00"/>
    <d v="2019-08-15T00:00:00"/>
    <x v="2"/>
    <d v="2019-08-20T00:00:00"/>
    <n v="1236"/>
    <x v="3"/>
    <x v="0"/>
  </r>
  <r>
    <x v="0"/>
    <s v="Cancela"/>
    <d v="2019-08-20T00:00:00"/>
    <d v="2019-08-15T00:00:00"/>
    <x v="2"/>
    <d v="2019-08-20T00:00:00"/>
    <n v="1236"/>
    <x v="3"/>
    <x v="0"/>
  </r>
  <r>
    <x v="3"/>
    <s v="Emitida"/>
    <d v="2019-08-19T00:00:00"/>
    <d v="2019-08-19T00:00:00"/>
    <x v="3"/>
    <m/>
    <n v="9133.2000000000007"/>
    <x v="4"/>
    <x v="0"/>
  </r>
  <r>
    <x v="4"/>
    <s v="Emitida"/>
    <d v="2019-08-16T00:00:00"/>
    <d v="2019-08-16T00:00:00"/>
    <x v="4"/>
    <m/>
    <n v="69960"/>
    <x v="5"/>
    <x v="0"/>
  </r>
  <r>
    <x v="5"/>
    <s v="Emitida"/>
    <d v="2019-08-15T00:00:00"/>
    <d v="2019-08-15T00:00:00"/>
    <x v="5"/>
    <m/>
    <n v="31069"/>
    <x v="6"/>
    <x v="0"/>
  </r>
  <r>
    <x v="6"/>
    <s v="Emitida"/>
    <d v="2019-08-15T00:00:00"/>
    <d v="2019-08-15T00:00:00"/>
    <x v="6"/>
    <m/>
    <n v="12496"/>
    <x v="7"/>
    <x v="0"/>
  </r>
  <r>
    <x v="7"/>
    <s v="Emitida"/>
    <d v="2019-08-13T00:00:00"/>
    <d v="2019-08-13T00:00:00"/>
    <x v="0"/>
    <m/>
    <n v="2176"/>
    <x v="8"/>
    <x v="0"/>
  </r>
  <r>
    <x v="3"/>
    <s v="Emitida"/>
    <d v="2019-08-13T00:00:00"/>
    <d v="2019-08-13T00:00:00"/>
    <x v="7"/>
    <m/>
    <n v="3018.6"/>
    <x v="9"/>
    <x v="0"/>
  </r>
  <r>
    <x v="7"/>
    <s v="Emitida"/>
    <d v="2019-08-12T00:00:00"/>
    <d v="2019-07-26T00:00:00"/>
    <x v="2"/>
    <m/>
    <n v="39406"/>
    <x v="10"/>
    <x v="0"/>
  </r>
  <r>
    <x v="7"/>
    <s v="Emitida"/>
    <d v="2019-08-12T00:00:00"/>
    <d v="2019-07-24T00:00:00"/>
    <x v="2"/>
    <m/>
    <n v="5349"/>
    <x v="11"/>
    <x v="0"/>
  </r>
  <r>
    <x v="7"/>
    <s v="Emitida"/>
    <d v="2019-08-12T00:00:00"/>
    <d v="2019-07-23T00:00:00"/>
    <x v="2"/>
    <m/>
    <n v="44895"/>
    <x v="12"/>
    <x v="0"/>
  </r>
  <r>
    <x v="7"/>
    <s v="Emitida"/>
    <d v="2019-08-12T00:00:00"/>
    <d v="2019-07-19T00:00:00"/>
    <x v="2"/>
    <m/>
    <n v="10584"/>
    <x v="13"/>
    <x v="0"/>
  </r>
  <r>
    <x v="7"/>
    <s v="Emitida"/>
    <d v="2019-08-12T00:00:00"/>
    <d v="2019-07-18T00:00:00"/>
    <x v="2"/>
    <m/>
    <n v="14579"/>
    <x v="14"/>
    <x v="0"/>
  </r>
  <r>
    <x v="7"/>
    <s v="Cancela"/>
    <d v="2019-08-12T00:00:00"/>
    <d v="2019-07-18T00:00:00"/>
    <x v="2"/>
    <d v="2019-08-12T00:00:00"/>
    <n v="14579"/>
    <x v="14"/>
    <x v="0"/>
  </r>
  <r>
    <x v="7"/>
    <s v="Emitida"/>
    <d v="2019-08-12T00:00:00"/>
    <d v="2019-07-18T00:00:00"/>
    <x v="2"/>
    <m/>
    <n v="39265"/>
    <x v="15"/>
    <x v="0"/>
  </r>
  <r>
    <x v="7"/>
    <s v="Emitida"/>
    <d v="2019-08-12T00:00:00"/>
    <d v="2019-07-18T00:00:00"/>
    <x v="2"/>
    <m/>
    <n v="2811"/>
    <x v="16"/>
    <x v="0"/>
  </r>
  <r>
    <x v="7"/>
    <s v="Emitida"/>
    <d v="2019-08-12T00:00:00"/>
    <d v="2019-07-18T00:00:00"/>
    <x v="2"/>
    <m/>
    <n v="31724"/>
    <x v="17"/>
    <x v="0"/>
  </r>
  <r>
    <x v="7"/>
    <s v="Cancela"/>
    <d v="2019-08-12T00:00:00"/>
    <d v="2019-07-18T00:00:00"/>
    <x v="2"/>
    <d v="2019-08-12T00:00:00"/>
    <n v="31724"/>
    <x v="17"/>
    <x v="0"/>
  </r>
  <r>
    <x v="7"/>
    <s v="Emitida"/>
    <d v="2019-08-12T00:00:00"/>
    <d v="2019-07-18T00:00:00"/>
    <x v="2"/>
    <m/>
    <n v="34277"/>
    <x v="18"/>
    <x v="0"/>
  </r>
  <r>
    <x v="6"/>
    <s v="Emitida"/>
    <d v="2019-08-08T00:00:00"/>
    <d v="2019-08-08T00:00:00"/>
    <x v="8"/>
    <m/>
    <n v="16480"/>
    <x v="19"/>
    <x v="0"/>
  </r>
  <r>
    <x v="5"/>
    <s v="Emitida"/>
    <d v="2019-08-08T00:00:00"/>
    <d v="2019-08-08T00:00:00"/>
    <x v="9"/>
    <m/>
    <n v="62138"/>
    <x v="20"/>
    <x v="0"/>
  </r>
  <r>
    <x v="8"/>
    <s v="Emitida"/>
    <d v="2019-08-08T00:00:00"/>
    <d v="2019-08-06T00:00:00"/>
    <x v="9"/>
    <m/>
    <n v="18302"/>
    <x v="21"/>
    <x v="0"/>
  </r>
  <r>
    <x v="6"/>
    <s v="Emitida"/>
    <d v="2019-08-07T00:00:00"/>
    <d v="2019-08-06T00:00:00"/>
    <x v="10"/>
    <m/>
    <n v="13805"/>
    <x v="22"/>
    <x v="0"/>
  </r>
  <r>
    <x v="3"/>
    <s v="Emitida"/>
    <d v="2019-08-06T00:00:00"/>
    <d v="2019-08-06T00:00:00"/>
    <x v="11"/>
    <m/>
    <n v="52186.9"/>
    <x v="23"/>
    <x v="0"/>
  </r>
  <r>
    <x v="7"/>
    <s v="Emitida"/>
    <d v="2019-08-05T00:00:00"/>
    <d v="2019-08-05T00:00:00"/>
    <x v="12"/>
    <m/>
    <n v="179"/>
    <x v="24"/>
    <x v="0"/>
  </r>
  <r>
    <x v="4"/>
    <s v="Emitida"/>
    <d v="2019-08-02T00:00:00"/>
    <d v="2019-08-02T00:00:00"/>
    <x v="13"/>
    <m/>
    <n v="71070"/>
    <x v="25"/>
    <x v="0"/>
  </r>
  <r>
    <x v="3"/>
    <s v="Emitida"/>
    <d v="2019-08-02T00:00:00"/>
    <d v="2019-08-01T00:00:00"/>
    <x v="14"/>
    <m/>
    <n v="10100.700000000001"/>
    <x v="26"/>
    <x v="0"/>
  </r>
  <r>
    <x v="3"/>
    <s v="Cancela"/>
    <d v="2019-08-01T00:00:00"/>
    <d v="2019-08-01T00:00:00"/>
    <x v="15"/>
    <d v="2019-08-01T00:00:00"/>
    <n v="9810.4500000000007"/>
    <x v="27"/>
    <x v="0"/>
  </r>
  <r>
    <x v="3"/>
    <s v="Emitida"/>
    <d v="2019-07-31T00:00:00"/>
    <d v="2019-07-31T00:00:00"/>
    <x v="12"/>
    <m/>
    <n v="11661"/>
    <x v="28"/>
    <x v="0"/>
  </r>
  <r>
    <x v="9"/>
    <s v="Emitida"/>
    <d v="2019-07-30T00:00:00"/>
    <d v="2019-07-30T00:00:00"/>
    <x v="16"/>
    <m/>
    <n v="2688"/>
    <x v="29"/>
    <x v="0"/>
  </r>
  <r>
    <x v="2"/>
    <s v="Emitida"/>
    <d v="2019-07-29T00:00:00"/>
    <d v="2019-07-29T00:00:00"/>
    <x v="0"/>
    <m/>
    <n v="2200"/>
    <x v="30"/>
    <x v="0"/>
  </r>
  <r>
    <x v="2"/>
    <s v="Emitida"/>
    <d v="2019-07-29T00:00:00"/>
    <d v="2019-07-29T00:00:00"/>
    <x v="0"/>
    <m/>
    <n v="880"/>
    <x v="31"/>
    <x v="0"/>
  </r>
  <r>
    <x v="3"/>
    <s v="Emitida"/>
    <d v="2019-07-29T00:00:00"/>
    <d v="2019-07-29T00:00:00"/>
    <x v="17"/>
    <m/>
    <n v="55341"/>
    <x v="32"/>
    <x v="0"/>
  </r>
  <r>
    <x v="6"/>
    <s v="Emitida"/>
    <d v="2019-07-29T00:00:00"/>
    <d v="2019-07-29T00:00:00"/>
    <x v="0"/>
    <m/>
    <n v="34848"/>
    <x v="33"/>
    <x v="0"/>
  </r>
  <r>
    <x v="10"/>
    <s v="Emitida"/>
    <d v="2019-07-29T00:00:00"/>
    <d v="2019-07-29T00:00:00"/>
    <x v="0"/>
    <m/>
    <n v="800"/>
    <x v="34"/>
    <x v="0"/>
  </r>
  <r>
    <x v="4"/>
    <s v="Emitida"/>
    <d v="2019-07-25T00:00:00"/>
    <d v="2019-07-25T00:00:00"/>
    <x v="18"/>
    <m/>
    <n v="35535"/>
    <x v="35"/>
    <x v="0"/>
  </r>
  <r>
    <x v="8"/>
    <s v="Emitida"/>
    <d v="2019-07-22T00:00:00"/>
    <d v="2019-07-22T00:00:00"/>
    <x v="19"/>
    <m/>
    <n v="48170"/>
    <x v="36"/>
    <x v="0"/>
  </r>
  <r>
    <x v="4"/>
    <s v="Emitida"/>
    <d v="2019-07-22T00:00:00"/>
    <d v="2019-07-22T00:00:00"/>
    <x v="16"/>
    <m/>
    <n v="8500"/>
    <x v="37"/>
    <x v="0"/>
  </r>
  <r>
    <x v="3"/>
    <s v="Emitida"/>
    <d v="2019-07-22T00:00:00"/>
    <d v="2019-07-22T00:00:00"/>
    <x v="20"/>
    <m/>
    <n v="6669"/>
    <x v="38"/>
    <x v="0"/>
  </r>
  <r>
    <x v="11"/>
    <s v="Emitida"/>
    <d v="2019-07-22T00:00:00"/>
    <d v="2019-07-22T00:00:00"/>
    <x v="1"/>
    <m/>
    <n v="2500"/>
    <x v="39"/>
    <x v="0"/>
  </r>
  <r>
    <x v="3"/>
    <s v="Emitida"/>
    <d v="2019-07-19T00:00:00"/>
    <d v="2019-07-19T00:00:00"/>
    <x v="21"/>
    <m/>
    <n v="25400.1"/>
    <x v="40"/>
    <x v="0"/>
  </r>
  <r>
    <x v="6"/>
    <s v="Emitida"/>
    <d v="2019-07-18T00:00:00"/>
    <d v="2019-07-18T00:00:00"/>
    <x v="13"/>
    <m/>
    <n v="27884"/>
    <x v="41"/>
    <x v="0"/>
  </r>
  <r>
    <x v="6"/>
    <s v="Emitida"/>
    <d v="2019-07-18T00:00:00"/>
    <d v="2019-07-18T00:00:00"/>
    <x v="13"/>
    <m/>
    <n v="22431"/>
    <x v="42"/>
    <x v="0"/>
  </r>
  <r>
    <x v="6"/>
    <s v="Emitida"/>
    <d v="2019-07-18T00:00:00"/>
    <d v="2019-07-18T00:00:00"/>
    <x v="13"/>
    <m/>
    <n v="22003"/>
    <x v="43"/>
    <x v="0"/>
  </r>
  <r>
    <x v="12"/>
    <s v="Emitida"/>
    <d v="2019-07-17T00:00:00"/>
    <d v="2019-07-17T00:00:00"/>
    <x v="22"/>
    <m/>
    <n v="3297"/>
    <x v="44"/>
    <x v="0"/>
  </r>
  <r>
    <x v="9"/>
    <s v="Emitida"/>
    <d v="2019-07-17T00:00:00"/>
    <d v="2019-07-17T00:00:00"/>
    <x v="23"/>
    <m/>
    <n v="5520"/>
    <x v="45"/>
    <x v="0"/>
  </r>
  <r>
    <x v="13"/>
    <s v="Emitida"/>
    <d v="2019-07-17T00:00:00"/>
    <d v="2019-07-17T00:00:00"/>
    <x v="24"/>
    <m/>
    <n v="6124"/>
    <x v="46"/>
    <x v="0"/>
  </r>
  <r>
    <x v="6"/>
    <s v="Emitida"/>
    <d v="2019-07-16T00:00:00"/>
    <d v="2019-07-16T00:00:00"/>
    <x v="25"/>
    <m/>
    <n v="46904"/>
    <x v="47"/>
    <x v="0"/>
  </r>
  <r>
    <x v="6"/>
    <s v="Emitida"/>
    <d v="2019-07-16T00:00:00"/>
    <d v="2019-07-16T00:00:00"/>
    <x v="25"/>
    <m/>
    <n v="12399"/>
    <x v="48"/>
    <x v="0"/>
  </r>
  <r>
    <x v="6"/>
    <s v="Emitida"/>
    <d v="2019-07-16T00:00:00"/>
    <d v="2019-07-16T00:00:00"/>
    <x v="25"/>
    <m/>
    <n v="13034"/>
    <x v="49"/>
    <x v="0"/>
  </r>
  <r>
    <x v="4"/>
    <s v="Emitida"/>
    <d v="2019-07-16T00:00:00"/>
    <d v="2019-07-16T00:00:00"/>
    <x v="26"/>
    <m/>
    <n v="69554"/>
    <x v="50"/>
    <x v="0"/>
  </r>
  <r>
    <x v="14"/>
    <s v="Emitida"/>
    <d v="2019-07-11T00:00:00"/>
    <d v="2019-07-11T00:00:00"/>
    <x v="27"/>
    <m/>
    <n v="6220"/>
    <x v="51"/>
    <x v="0"/>
  </r>
  <r>
    <x v="15"/>
    <s v="Emitida"/>
    <d v="2019-07-10T00:00:00"/>
    <d v="2019-07-10T00:00:00"/>
    <x v="28"/>
    <m/>
    <n v="14938.9"/>
    <x v="52"/>
    <x v="0"/>
  </r>
  <r>
    <x v="15"/>
    <s v="Emitida"/>
    <d v="2019-07-10T00:00:00"/>
    <d v="2019-07-10T00:00:00"/>
    <x v="28"/>
    <m/>
    <n v="14938.9"/>
    <x v="52"/>
    <x v="0"/>
  </r>
  <r>
    <x v="6"/>
    <s v="Emitida"/>
    <d v="2019-07-10T00:00:00"/>
    <d v="2019-07-10T00:00:00"/>
    <x v="18"/>
    <m/>
    <n v="8063"/>
    <x v="53"/>
    <x v="0"/>
  </r>
  <r>
    <x v="8"/>
    <s v="Emitida"/>
    <d v="2019-07-09T00:00:00"/>
    <d v="2019-07-09T00:00:00"/>
    <x v="29"/>
    <m/>
    <n v="34905"/>
    <x v="54"/>
    <x v="0"/>
  </r>
  <r>
    <x v="7"/>
    <s v="Emitida"/>
    <d v="2019-07-09T00:00:00"/>
    <d v="2019-06-06T00:00:00"/>
    <x v="23"/>
    <m/>
    <n v="21840"/>
    <x v="55"/>
    <x v="0"/>
  </r>
  <r>
    <x v="7"/>
    <s v="Emitida"/>
    <d v="2019-07-09T00:00:00"/>
    <d v="2019-06-19T00:00:00"/>
    <x v="23"/>
    <m/>
    <n v="47222"/>
    <x v="56"/>
    <x v="0"/>
  </r>
  <r>
    <x v="7"/>
    <s v="Emitida"/>
    <d v="2019-07-09T00:00:00"/>
    <d v="2019-06-14T00:00:00"/>
    <x v="23"/>
    <m/>
    <n v="35532"/>
    <x v="57"/>
    <x v="0"/>
  </r>
  <r>
    <x v="7"/>
    <s v="Emitida"/>
    <d v="2019-07-09T00:00:00"/>
    <d v="2019-06-14T00:00:00"/>
    <x v="23"/>
    <m/>
    <n v="44941"/>
    <x v="58"/>
    <x v="0"/>
  </r>
  <r>
    <x v="7"/>
    <s v="Emitida"/>
    <d v="2019-07-09T00:00:00"/>
    <d v="2019-06-26T00:00:00"/>
    <x v="23"/>
    <m/>
    <n v="39610"/>
    <x v="59"/>
    <x v="0"/>
  </r>
  <r>
    <x v="7"/>
    <s v="Emitida"/>
    <d v="2019-07-09T00:00:00"/>
    <d v="2019-06-04T00:00:00"/>
    <x v="23"/>
    <m/>
    <n v="45277"/>
    <x v="60"/>
    <x v="0"/>
  </r>
  <r>
    <x v="7"/>
    <s v="Emitida"/>
    <d v="2019-07-09T00:00:00"/>
    <d v="2019-06-26T00:00:00"/>
    <x v="23"/>
    <m/>
    <n v="46174"/>
    <x v="61"/>
    <x v="0"/>
  </r>
  <r>
    <x v="7"/>
    <s v="Cancela"/>
    <d v="2019-07-09T00:00:00"/>
    <d v="2019-06-26T00:00:00"/>
    <x v="23"/>
    <d v="2019-07-09T00:00:00"/>
    <n v="46174"/>
    <x v="61"/>
    <x v="0"/>
  </r>
  <r>
    <x v="7"/>
    <s v="Emitida"/>
    <d v="2019-07-09T00:00:00"/>
    <d v="2019-06-24T00:00:00"/>
    <x v="23"/>
    <m/>
    <n v="44896"/>
    <x v="62"/>
    <x v="0"/>
  </r>
  <r>
    <x v="7"/>
    <s v="Cancela"/>
    <d v="2019-07-09T00:00:00"/>
    <d v="2019-06-24T00:00:00"/>
    <x v="23"/>
    <d v="2019-07-09T00:00:00"/>
    <n v="44896"/>
    <x v="62"/>
    <x v="0"/>
  </r>
  <r>
    <x v="7"/>
    <s v="Emitida"/>
    <d v="2019-07-09T00:00:00"/>
    <d v="2019-06-11T00:00:00"/>
    <x v="23"/>
    <m/>
    <n v="45974"/>
    <x v="63"/>
    <x v="0"/>
  </r>
  <r>
    <x v="7"/>
    <s v="Emitida"/>
    <d v="2019-07-09T00:00:00"/>
    <d v="2019-06-25T00:00:00"/>
    <x v="23"/>
    <m/>
    <n v="46255"/>
    <x v="64"/>
    <x v="0"/>
  </r>
  <r>
    <x v="7"/>
    <s v="Emitida"/>
    <d v="2019-07-09T00:00:00"/>
    <d v="2019-06-18T00:00:00"/>
    <x v="23"/>
    <m/>
    <n v="37338"/>
    <x v="65"/>
    <x v="0"/>
  </r>
  <r>
    <x v="7"/>
    <s v="Emitida"/>
    <d v="2019-07-09T00:00:00"/>
    <d v="2019-06-12T00:00:00"/>
    <x v="23"/>
    <m/>
    <n v="44813"/>
    <x v="66"/>
    <x v="0"/>
  </r>
  <r>
    <x v="7"/>
    <s v="Emitida"/>
    <d v="2019-07-09T00:00:00"/>
    <d v="2019-06-12T00:00:00"/>
    <x v="23"/>
    <m/>
    <n v="39899"/>
    <x v="67"/>
    <x v="0"/>
  </r>
  <r>
    <x v="7"/>
    <s v="Emitida"/>
    <d v="2019-07-04T00:00:00"/>
    <d v="2019-07-04T00:00:00"/>
    <x v="30"/>
    <m/>
    <n v="7000"/>
    <x v="68"/>
    <x v="0"/>
  </r>
  <r>
    <x v="7"/>
    <s v="Emitida"/>
    <d v="2019-07-04T00:00:00"/>
    <d v="2019-07-04T00:00:00"/>
    <x v="30"/>
    <m/>
    <n v="5000"/>
    <x v="69"/>
    <x v="0"/>
  </r>
  <r>
    <x v="7"/>
    <s v="Emitida"/>
    <d v="2019-07-04T00:00:00"/>
    <d v="2019-07-04T00:00:00"/>
    <x v="30"/>
    <m/>
    <n v="5000"/>
    <x v="69"/>
    <x v="0"/>
  </r>
  <r>
    <x v="4"/>
    <s v="Emitida"/>
    <d v="2019-07-04T00:00:00"/>
    <d v="2019-07-04T00:00:00"/>
    <x v="30"/>
    <m/>
    <n v="5500"/>
    <x v="70"/>
    <x v="0"/>
  </r>
  <r>
    <x v="9"/>
    <s v="Emitida"/>
    <d v="2019-07-03T00:00:00"/>
    <d v="2019-07-03T00:00:00"/>
    <x v="31"/>
    <m/>
    <n v="19300"/>
    <x v="71"/>
    <x v="0"/>
  </r>
  <r>
    <x v="6"/>
    <s v="Emitida"/>
    <d v="2019-07-02T00:00:00"/>
    <d v="2019-07-02T00:00:00"/>
    <x v="32"/>
    <m/>
    <n v="24980"/>
    <x v="72"/>
    <x v="0"/>
  </r>
  <r>
    <x v="3"/>
    <s v="Emitida"/>
    <d v="2019-07-01T00:00:00"/>
    <d v="2019-07-01T00:00:00"/>
    <x v="33"/>
    <m/>
    <n v="5265"/>
    <x v="73"/>
    <x v="0"/>
  </r>
  <r>
    <x v="7"/>
    <s v="Emitida"/>
    <d v="2019-07-01T00:00:00"/>
    <d v="2019-06-26T00:00:00"/>
    <x v="34"/>
    <m/>
    <n v="6954"/>
    <x v="74"/>
    <x v="0"/>
  </r>
  <r>
    <x v="6"/>
    <s v="Emitida"/>
    <d v="2019-06-28T00:00:00"/>
    <d v="2019-06-28T00:00:00"/>
    <x v="35"/>
    <m/>
    <n v="11280"/>
    <x v="75"/>
    <x v="0"/>
  </r>
  <r>
    <x v="6"/>
    <s v="Emitida"/>
    <d v="2019-06-28T00:00:00"/>
    <d v="2019-06-26T00:00:00"/>
    <x v="35"/>
    <m/>
    <n v="46350"/>
    <x v="76"/>
    <x v="0"/>
  </r>
  <r>
    <x v="8"/>
    <s v="Emitida"/>
    <d v="2019-06-27T00:00:00"/>
    <d v="2019-06-27T00:00:00"/>
    <x v="20"/>
    <m/>
    <n v="28597"/>
    <x v="77"/>
    <x v="0"/>
  </r>
  <r>
    <x v="3"/>
    <s v="Emitida"/>
    <d v="2019-06-26T00:00:00"/>
    <d v="2019-06-26T00:00:00"/>
    <x v="34"/>
    <m/>
    <n v="3242.4"/>
    <x v="78"/>
    <x v="0"/>
  </r>
  <r>
    <x v="6"/>
    <s v="Emitida"/>
    <d v="2019-06-26T00:00:00"/>
    <d v="2019-06-26T00:00:00"/>
    <x v="36"/>
    <m/>
    <n v="14124"/>
    <x v="79"/>
    <x v="0"/>
  </r>
  <r>
    <x v="6"/>
    <s v="Emitida"/>
    <d v="2019-06-26T00:00:00"/>
    <d v="2019-06-26T00:00:00"/>
    <x v="36"/>
    <m/>
    <n v="25046"/>
    <x v="80"/>
    <x v="0"/>
  </r>
  <r>
    <x v="6"/>
    <s v="Emitida"/>
    <d v="2019-06-26T00:00:00"/>
    <d v="2019-06-26T00:00:00"/>
    <x v="36"/>
    <m/>
    <n v="25046"/>
    <x v="80"/>
    <x v="0"/>
  </r>
  <r>
    <x v="1"/>
    <s v="Emitida"/>
    <d v="2019-06-25T00:00:00"/>
    <d v="2019-06-25T00:00:00"/>
    <x v="28"/>
    <m/>
    <n v="102567"/>
    <x v="81"/>
    <x v="0"/>
  </r>
  <r>
    <x v="3"/>
    <s v="Emitida"/>
    <d v="2019-06-25T00:00:00"/>
    <d v="2019-06-25T00:00:00"/>
    <x v="37"/>
    <m/>
    <n v="5500.5"/>
    <x v="82"/>
    <x v="0"/>
  </r>
  <r>
    <x v="4"/>
    <s v="Emitida"/>
    <d v="2019-06-25T00:00:00"/>
    <d v="2019-06-25T00:00:00"/>
    <x v="31"/>
    <m/>
    <n v="64460"/>
    <x v="83"/>
    <x v="0"/>
  </r>
  <r>
    <x v="5"/>
    <s v="Emitida"/>
    <d v="2019-06-25T00:00:00"/>
    <d v="2019-06-24T00:00:00"/>
    <x v="18"/>
    <m/>
    <n v="31069"/>
    <x v="6"/>
    <x v="0"/>
  </r>
  <r>
    <x v="6"/>
    <s v="Emitida"/>
    <d v="2019-06-24T00:00:00"/>
    <d v="2019-06-24T00:00:00"/>
    <x v="23"/>
    <m/>
    <n v="18188"/>
    <x v="84"/>
    <x v="0"/>
  </r>
  <r>
    <x v="16"/>
    <s v="Emitida"/>
    <d v="2019-06-24T00:00:00"/>
    <d v="2019-06-24T00:00:00"/>
    <x v="38"/>
    <m/>
    <n v="550"/>
    <x v="85"/>
    <x v="0"/>
  </r>
  <r>
    <x v="5"/>
    <s v="Cancela"/>
    <d v="2019-06-24T00:00:00"/>
    <d v="2019-06-24T00:00:00"/>
    <x v="21"/>
    <d v="2019-06-25T00:00:00"/>
    <n v="31069"/>
    <x v="6"/>
    <x v="0"/>
  </r>
  <r>
    <x v="3"/>
    <s v="Emitida"/>
    <d v="2019-06-24T00:00:00"/>
    <d v="2019-06-24T00:00:00"/>
    <x v="39"/>
    <m/>
    <n v="6484.8"/>
    <x v="86"/>
    <x v="0"/>
  </r>
  <r>
    <x v="0"/>
    <s v="Emitida"/>
    <d v="2019-06-21T00:00:00"/>
    <d v="2019-06-21T00:00:00"/>
    <x v="40"/>
    <m/>
    <n v="8808"/>
    <x v="87"/>
    <x v="0"/>
  </r>
  <r>
    <x v="10"/>
    <s v="Emitida"/>
    <d v="2019-06-21T00:00:00"/>
    <d v="2019-06-21T00:00:00"/>
    <x v="33"/>
    <m/>
    <n v="43730.400000000001"/>
    <x v="88"/>
    <x v="0"/>
  </r>
  <r>
    <x v="6"/>
    <s v="Devuelta"/>
    <d v="2019-06-20T00:00:00"/>
    <d v="2019-04-03T00:00:00"/>
    <x v="41"/>
    <m/>
    <n v="27884"/>
    <x v="41"/>
    <x v="0"/>
  </r>
  <r>
    <x v="3"/>
    <s v="Emitida"/>
    <d v="2019-06-19T00:00:00"/>
    <d v="2019-06-19T00:00:00"/>
    <x v="38"/>
    <m/>
    <n v="7063.8"/>
    <x v="89"/>
    <x v="0"/>
  </r>
  <r>
    <x v="6"/>
    <s v="Devuelta"/>
    <d v="2019-06-19T00:00:00"/>
    <d v="2019-05-15T00:00:00"/>
    <x v="30"/>
    <m/>
    <n v="22431"/>
    <x v="42"/>
    <x v="0"/>
  </r>
  <r>
    <x v="6"/>
    <s v="Devuelta"/>
    <d v="2019-06-19T00:00:00"/>
    <d v="2019-05-14T00:00:00"/>
    <x v="30"/>
    <m/>
    <n v="22003"/>
    <x v="43"/>
    <x v="0"/>
  </r>
  <r>
    <x v="10"/>
    <s v="Emitida"/>
    <d v="2019-06-18T00:00:00"/>
    <d v="2019-06-18T00:00:00"/>
    <x v="27"/>
    <m/>
    <n v="54194.5"/>
    <x v="90"/>
    <x v="0"/>
  </r>
  <r>
    <x v="10"/>
    <s v="Emitida"/>
    <d v="2019-06-18T00:00:00"/>
    <d v="2019-06-18T00:00:00"/>
    <x v="27"/>
    <m/>
    <n v="1480"/>
    <x v="91"/>
    <x v="0"/>
  </r>
  <r>
    <x v="3"/>
    <s v="Emitida"/>
    <d v="2019-06-18T00:00:00"/>
    <d v="2019-06-18T00:00:00"/>
    <x v="42"/>
    <m/>
    <n v="2721.3"/>
    <x v="92"/>
    <x v="0"/>
  </r>
  <r>
    <x v="3"/>
    <s v="Emitida"/>
    <d v="2019-06-18T00:00:00"/>
    <d v="2019-06-18T00:00:00"/>
    <x v="42"/>
    <m/>
    <n v="13645.1"/>
    <x v="93"/>
    <x v="0"/>
  </r>
  <r>
    <x v="3"/>
    <s v="Emitida"/>
    <d v="2019-06-18T00:00:00"/>
    <d v="2019-06-18T00:00:00"/>
    <x v="42"/>
    <m/>
    <n v="70445"/>
    <x v="94"/>
    <x v="0"/>
  </r>
  <r>
    <x v="3"/>
    <s v="Emitida"/>
    <d v="2019-06-18T00:00:00"/>
    <d v="2019-06-18T00:00:00"/>
    <x v="42"/>
    <m/>
    <n v="45914.7"/>
    <x v="95"/>
    <x v="0"/>
  </r>
  <r>
    <x v="3"/>
    <s v="Cancela"/>
    <d v="2019-06-17T00:00:00"/>
    <d v="2019-06-17T00:00:00"/>
    <x v="43"/>
    <d v="2019-06-18T00:00:00"/>
    <n v="45581.599999999999"/>
    <x v="96"/>
    <x v="0"/>
  </r>
  <r>
    <x v="3"/>
    <s v="Cancela"/>
    <d v="2019-06-17T00:00:00"/>
    <d v="2019-06-17T00:00:00"/>
    <x v="43"/>
    <d v="2019-06-18T00:00:00"/>
    <n v="69934"/>
    <x v="97"/>
    <x v="0"/>
  </r>
  <r>
    <x v="3"/>
    <s v="Cancela"/>
    <d v="2019-06-17T00:00:00"/>
    <d v="2019-06-17T00:00:00"/>
    <x v="43"/>
    <d v="2019-06-18T00:00:00"/>
    <n v="13546.1"/>
    <x v="98"/>
    <x v="0"/>
  </r>
  <r>
    <x v="17"/>
    <s v="Emitida"/>
    <d v="2019-06-14T00:00:00"/>
    <d v="2019-06-14T00:00:00"/>
    <x v="44"/>
    <m/>
    <n v="660"/>
    <x v="99"/>
    <x v="0"/>
  </r>
  <r>
    <x v="4"/>
    <s v="Emitida"/>
    <d v="2019-06-13T00:00:00"/>
    <d v="2019-06-13T00:00:00"/>
    <x v="40"/>
    <m/>
    <n v="18110"/>
    <x v="100"/>
    <x v="0"/>
  </r>
  <r>
    <x v="7"/>
    <s v="Emitida"/>
    <d v="2019-06-13T00:00:00"/>
    <d v="2019-06-13T00:00:00"/>
    <x v="40"/>
    <m/>
    <n v="6116"/>
    <x v="101"/>
    <x v="0"/>
  </r>
  <r>
    <x v="18"/>
    <s v="Emitida"/>
    <d v="2019-06-12T00:00:00"/>
    <d v="2019-06-12T00:00:00"/>
    <x v="45"/>
    <m/>
    <n v="36261.1"/>
    <x v="102"/>
    <x v="0"/>
  </r>
  <r>
    <x v="17"/>
    <s v="Cancela"/>
    <d v="2019-06-12T00:00:00"/>
    <d v="2019-06-12T00:00:00"/>
    <x v="46"/>
    <d v="2019-06-14T00:00:00"/>
    <n v="660"/>
    <x v="99"/>
    <x v="0"/>
  </r>
  <r>
    <x v="17"/>
    <s v="Cancela"/>
    <d v="2019-06-12T00:00:00"/>
    <d v="2019-06-12T00:00:00"/>
    <x v="46"/>
    <d v="2019-06-12T00:00:00"/>
    <n v="660"/>
    <x v="99"/>
    <x v="0"/>
  </r>
  <r>
    <x v="17"/>
    <s v="Emitida"/>
    <d v="2019-06-11T00:00:00"/>
    <d v="2019-06-11T00:00:00"/>
    <x v="47"/>
    <m/>
    <n v="1900"/>
    <x v="103"/>
    <x v="0"/>
  </r>
  <r>
    <x v="4"/>
    <s v="Emitida"/>
    <d v="2019-06-10T00:00:00"/>
    <d v="2019-06-10T00:00:00"/>
    <x v="48"/>
    <m/>
    <n v="490"/>
    <x v="104"/>
    <x v="0"/>
  </r>
  <r>
    <x v="6"/>
    <s v="Emitida"/>
    <d v="2019-06-10T00:00:00"/>
    <d v="2019-06-10T00:00:00"/>
    <x v="31"/>
    <m/>
    <n v="23021"/>
    <x v="105"/>
    <x v="0"/>
  </r>
  <r>
    <x v="10"/>
    <s v="Cancela"/>
    <d v="2019-06-10T00:00:00"/>
    <d v="2019-06-10T00:00:00"/>
    <x v="31"/>
    <d v="2019-06-11T00:00:00"/>
    <n v="1480"/>
    <x v="91"/>
    <x v="0"/>
  </r>
  <r>
    <x v="6"/>
    <s v="Emitida"/>
    <d v="2019-06-06T00:00:00"/>
    <d v="2019-06-06T00:00:00"/>
    <x v="49"/>
    <m/>
    <n v="29480"/>
    <x v="106"/>
    <x v="0"/>
  </r>
  <r>
    <x v="6"/>
    <s v="Emitida"/>
    <d v="2019-06-06T00:00:00"/>
    <d v="2019-06-06T00:00:00"/>
    <x v="49"/>
    <m/>
    <n v="20498"/>
    <x v="107"/>
    <x v="0"/>
  </r>
  <r>
    <x v="2"/>
    <s v="Emitida"/>
    <d v="2019-06-05T00:00:00"/>
    <d v="2019-06-05T00:00:00"/>
    <x v="50"/>
    <m/>
    <n v="840"/>
    <x v="108"/>
    <x v="0"/>
  </r>
  <r>
    <x v="4"/>
    <s v="Emitida"/>
    <d v="2019-06-05T00:00:00"/>
    <d v="2019-06-05T00:00:00"/>
    <x v="51"/>
    <m/>
    <n v="17000"/>
    <x v="109"/>
    <x v="0"/>
  </r>
  <r>
    <x v="7"/>
    <s v="Emitida"/>
    <d v="2019-06-05T00:00:00"/>
    <d v="2019-05-28T00:00:00"/>
    <x v="51"/>
    <m/>
    <n v="35957"/>
    <x v="110"/>
    <x v="0"/>
  </r>
  <r>
    <x v="7"/>
    <s v="Emitida"/>
    <d v="2019-06-05T00:00:00"/>
    <d v="2019-05-29T00:00:00"/>
    <x v="51"/>
    <m/>
    <n v="36700"/>
    <x v="111"/>
    <x v="0"/>
  </r>
  <r>
    <x v="7"/>
    <s v="Emitida"/>
    <d v="2019-06-05T00:00:00"/>
    <d v="2019-05-28T00:00:00"/>
    <x v="51"/>
    <m/>
    <n v="42229"/>
    <x v="112"/>
    <x v="0"/>
  </r>
  <r>
    <x v="7"/>
    <s v="Emitida"/>
    <d v="2019-06-05T00:00:00"/>
    <d v="2019-05-21T00:00:00"/>
    <x v="51"/>
    <m/>
    <n v="34741"/>
    <x v="113"/>
    <x v="0"/>
  </r>
  <r>
    <x v="7"/>
    <s v="Emitida"/>
    <d v="2019-06-05T00:00:00"/>
    <d v="2019-05-21T00:00:00"/>
    <x v="51"/>
    <m/>
    <n v="49040"/>
    <x v="114"/>
    <x v="0"/>
  </r>
  <r>
    <x v="7"/>
    <s v="Emitida"/>
    <d v="2019-06-05T00:00:00"/>
    <d v="2019-05-14T00:00:00"/>
    <x v="51"/>
    <m/>
    <n v="42015"/>
    <x v="115"/>
    <x v="0"/>
  </r>
  <r>
    <x v="7"/>
    <s v="Emitida"/>
    <d v="2019-06-05T00:00:00"/>
    <d v="2019-05-14T00:00:00"/>
    <x v="51"/>
    <m/>
    <n v="36608"/>
    <x v="116"/>
    <x v="0"/>
  </r>
  <r>
    <x v="7"/>
    <s v="Emitida"/>
    <d v="2019-06-05T00:00:00"/>
    <d v="2019-05-21T00:00:00"/>
    <x v="51"/>
    <m/>
    <n v="48444"/>
    <x v="117"/>
    <x v="0"/>
  </r>
  <r>
    <x v="7"/>
    <s v="Emitida"/>
    <d v="2019-06-05T00:00:00"/>
    <d v="2019-05-13T00:00:00"/>
    <x v="51"/>
    <m/>
    <n v="34693"/>
    <x v="118"/>
    <x v="0"/>
  </r>
  <r>
    <x v="6"/>
    <s v="Emitida"/>
    <d v="2019-06-04T00:00:00"/>
    <d v="2019-06-04T00:00:00"/>
    <x v="52"/>
    <m/>
    <n v="20866"/>
    <x v="119"/>
    <x v="0"/>
  </r>
  <r>
    <x v="7"/>
    <s v="Emitida"/>
    <d v="2019-06-04T00:00:00"/>
    <d v="2019-06-04T00:00:00"/>
    <x v="53"/>
    <m/>
    <n v="1636"/>
    <x v="120"/>
    <x v="0"/>
  </r>
  <r>
    <x v="8"/>
    <s v="Emitida"/>
    <d v="2019-06-03T00:00:00"/>
    <d v="2019-06-03T00:00:00"/>
    <x v="27"/>
    <m/>
    <n v="28670"/>
    <x v="121"/>
    <x v="0"/>
  </r>
  <r>
    <x v="14"/>
    <s v="Emitida"/>
    <d v="2019-06-03T00:00:00"/>
    <d v="2019-06-03T00:00:00"/>
    <x v="54"/>
    <m/>
    <n v="1244"/>
    <x v="122"/>
    <x v="0"/>
  </r>
  <r>
    <x v="19"/>
    <s v="Devuelta"/>
    <d v="2019-05-31T00:00:00"/>
    <d v="2019-05-31T00:00:00"/>
    <x v="55"/>
    <m/>
    <n v="6118.32"/>
    <x v="123"/>
    <x v="0"/>
  </r>
  <r>
    <x v="9"/>
    <s v="Emitida"/>
    <d v="2019-05-31T00:00:00"/>
    <d v="2019-05-31T00:00:00"/>
    <x v="56"/>
    <m/>
    <n v="3420"/>
    <x v="124"/>
    <x v="0"/>
  </r>
  <r>
    <x v="6"/>
    <s v="Emitida"/>
    <d v="2019-05-29T00:00:00"/>
    <d v="2019-05-29T00:00:00"/>
    <x v="40"/>
    <m/>
    <n v="12232"/>
    <x v="125"/>
    <x v="0"/>
  </r>
  <r>
    <x v="4"/>
    <s v="Emitida"/>
    <d v="2019-05-29T00:00:00"/>
    <d v="2019-05-29T00:00:00"/>
    <x v="57"/>
    <m/>
    <n v="98"/>
    <x v="126"/>
    <x v="0"/>
  </r>
  <r>
    <x v="19"/>
    <s v="Emitida"/>
    <d v="2019-05-29T00:00:00"/>
    <d v="2019-05-29T00:00:00"/>
    <x v="57"/>
    <m/>
    <n v="3657.6"/>
    <x v="127"/>
    <x v="0"/>
  </r>
  <r>
    <x v="19"/>
    <s v="Emitida"/>
    <d v="2019-05-29T00:00:00"/>
    <d v="2019-05-29T00:00:00"/>
    <x v="57"/>
    <m/>
    <n v="37642.800000000003"/>
    <x v="128"/>
    <x v="0"/>
  </r>
  <r>
    <x v="4"/>
    <s v="Emitida"/>
    <d v="2019-05-27T00:00:00"/>
    <d v="2019-05-27T00:00:00"/>
    <x v="58"/>
    <m/>
    <n v="105384"/>
    <x v="129"/>
    <x v="0"/>
  </r>
  <r>
    <x v="6"/>
    <s v="Emitida"/>
    <d v="2019-05-27T00:00:00"/>
    <d v="2019-05-27T00:00:00"/>
    <x v="47"/>
    <m/>
    <n v="900"/>
    <x v="130"/>
    <x v="0"/>
  </r>
  <r>
    <x v="6"/>
    <s v="Emitida"/>
    <d v="2019-05-24T00:00:00"/>
    <d v="2019-05-24T00:00:00"/>
    <x v="59"/>
    <m/>
    <n v="10128"/>
    <x v="131"/>
    <x v="0"/>
  </r>
  <r>
    <x v="6"/>
    <s v="Emitida"/>
    <d v="2019-05-24T00:00:00"/>
    <d v="2019-05-21T00:00:00"/>
    <x v="59"/>
    <m/>
    <n v="24027"/>
    <x v="132"/>
    <x v="0"/>
  </r>
  <r>
    <x v="6"/>
    <s v="Emitida"/>
    <d v="2019-05-24T00:00:00"/>
    <d v="2019-05-24T00:00:00"/>
    <x v="59"/>
    <m/>
    <n v="23523"/>
    <x v="133"/>
    <x v="0"/>
  </r>
  <r>
    <x v="6"/>
    <s v="Cancela"/>
    <d v="2019-05-24T00:00:00"/>
    <d v="2019-05-24T00:00:00"/>
    <x v="59"/>
    <d v="2019-05-24T00:00:00"/>
    <n v="23523"/>
    <x v="133"/>
    <x v="0"/>
  </r>
  <r>
    <x v="6"/>
    <s v="Cancela"/>
    <d v="2019-05-24T00:00:00"/>
    <d v="2019-05-21T00:00:00"/>
    <x v="59"/>
    <d v="2019-05-24T00:00:00"/>
    <n v="24027"/>
    <x v="132"/>
    <x v="0"/>
  </r>
  <r>
    <x v="19"/>
    <s v="Emitida"/>
    <d v="2019-05-24T00:00:00"/>
    <d v="2019-05-24T00:00:00"/>
    <x v="60"/>
    <m/>
    <n v="28963.4"/>
    <x v="134"/>
    <x v="0"/>
  </r>
  <r>
    <x v="7"/>
    <s v="Emitida"/>
    <d v="2019-05-23T00:00:00"/>
    <d v="2019-05-23T00:00:00"/>
    <x v="56"/>
    <m/>
    <n v="14740"/>
    <x v="135"/>
    <x v="0"/>
  </r>
  <r>
    <x v="7"/>
    <s v="Cancela"/>
    <d v="2019-05-23T00:00:00"/>
    <d v="2019-05-23T00:00:00"/>
    <x v="56"/>
    <d v="2019-05-23T00:00:00"/>
    <n v="14740"/>
    <x v="135"/>
    <x v="0"/>
  </r>
  <r>
    <x v="19"/>
    <s v="Emitida"/>
    <d v="2019-05-22T00:00:00"/>
    <d v="2019-05-22T00:00:00"/>
    <x v="61"/>
    <m/>
    <n v="11625.8"/>
    <x v="136"/>
    <x v="0"/>
  </r>
  <r>
    <x v="8"/>
    <s v="Emitida"/>
    <d v="2019-05-21T00:00:00"/>
    <d v="2019-05-21T00:00:00"/>
    <x v="50"/>
    <m/>
    <n v="32583"/>
    <x v="137"/>
    <x v="0"/>
  </r>
  <r>
    <x v="13"/>
    <s v="Emitida"/>
    <d v="2019-05-21T00:00:00"/>
    <d v="2019-05-21T00:00:00"/>
    <x v="51"/>
    <m/>
    <n v="1978.8"/>
    <x v="138"/>
    <x v="0"/>
  </r>
  <r>
    <x v="19"/>
    <s v="Emitida"/>
    <d v="2019-05-17T00:00:00"/>
    <d v="2019-05-17T00:00:00"/>
    <x v="62"/>
    <m/>
    <n v="28087.200000000001"/>
    <x v="139"/>
    <x v="0"/>
  </r>
  <r>
    <x v="19"/>
    <s v="Emitida"/>
    <d v="2019-05-17T00:00:00"/>
    <d v="2019-05-17T00:00:00"/>
    <x v="62"/>
    <m/>
    <n v="4665.28"/>
    <x v="140"/>
    <x v="0"/>
  </r>
  <r>
    <x v="1"/>
    <s v="Emitida"/>
    <d v="2019-05-15T00:00:00"/>
    <d v="2019-05-15T00:00:00"/>
    <x v="63"/>
    <m/>
    <n v="99927"/>
    <x v="141"/>
    <x v="0"/>
  </r>
  <r>
    <x v="19"/>
    <s v="Emitida"/>
    <d v="2019-05-15T00:00:00"/>
    <d v="2019-05-15T00:00:00"/>
    <x v="64"/>
    <m/>
    <n v="33908.699999999997"/>
    <x v="142"/>
    <x v="0"/>
  </r>
  <r>
    <x v="20"/>
    <s v="Emitida"/>
    <d v="2019-05-15T00:00:00"/>
    <d v="2019-05-15T00:00:00"/>
    <x v="65"/>
    <m/>
    <n v="146.52000000000001"/>
    <x v="143"/>
    <x v="0"/>
  </r>
  <r>
    <x v="19"/>
    <s v="Emitida"/>
    <d v="2019-05-15T00:00:00"/>
    <d v="2019-05-15T00:00:00"/>
    <x v="64"/>
    <m/>
    <n v="10017.1"/>
    <x v="144"/>
    <x v="0"/>
  </r>
  <r>
    <x v="20"/>
    <s v="Emitida"/>
    <d v="2019-05-14T00:00:00"/>
    <d v="2019-05-14T00:00:00"/>
    <x v="66"/>
    <m/>
    <n v="5850"/>
    <x v="145"/>
    <x v="0"/>
  </r>
  <r>
    <x v="6"/>
    <s v="Emitida"/>
    <d v="2019-05-14T00:00:00"/>
    <d v="2019-05-14T00:00:00"/>
    <x v="57"/>
    <m/>
    <n v="14740"/>
    <x v="135"/>
    <x v="0"/>
  </r>
  <r>
    <x v="7"/>
    <s v="Emitida"/>
    <d v="2019-05-14T00:00:00"/>
    <d v="2019-05-14T00:00:00"/>
    <x v="67"/>
    <m/>
    <n v="6161"/>
    <x v="146"/>
    <x v="0"/>
  </r>
  <r>
    <x v="7"/>
    <s v="Emitida"/>
    <d v="2019-05-14T00:00:00"/>
    <d v="2019-05-14T00:00:00"/>
    <x v="67"/>
    <m/>
    <n v="6161"/>
    <x v="146"/>
    <x v="0"/>
  </r>
  <r>
    <x v="7"/>
    <s v="Emitida"/>
    <d v="2019-05-14T00:00:00"/>
    <d v="2019-05-14T00:00:00"/>
    <x v="67"/>
    <m/>
    <n v="6206"/>
    <x v="147"/>
    <x v="0"/>
  </r>
  <r>
    <x v="7"/>
    <s v="Emitida"/>
    <d v="2019-05-14T00:00:00"/>
    <d v="2019-05-14T00:00:00"/>
    <x v="67"/>
    <m/>
    <n v="8237"/>
    <x v="148"/>
    <x v="0"/>
  </r>
  <r>
    <x v="7"/>
    <s v="Emitida"/>
    <d v="2019-05-14T00:00:00"/>
    <d v="2019-05-14T00:00:00"/>
    <x v="67"/>
    <m/>
    <n v="14546"/>
    <x v="149"/>
    <x v="0"/>
  </r>
  <r>
    <x v="7"/>
    <s v="Emitida"/>
    <d v="2019-05-14T00:00:00"/>
    <d v="2019-05-14T00:00:00"/>
    <x v="67"/>
    <m/>
    <n v="6161"/>
    <x v="146"/>
    <x v="0"/>
  </r>
  <r>
    <x v="7"/>
    <s v="Emitida"/>
    <d v="2019-05-14T00:00:00"/>
    <d v="2019-04-08T00:00:00"/>
    <x v="67"/>
    <m/>
    <n v="48578"/>
    <x v="150"/>
    <x v="0"/>
  </r>
  <r>
    <x v="7"/>
    <s v="Emitida"/>
    <d v="2019-05-14T00:00:00"/>
    <d v="2019-05-14T00:00:00"/>
    <x v="67"/>
    <m/>
    <n v="7481"/>
    <x v="151"/>
    <x v="0"/>
  </r>
  <r>
    <x v="7"/>
    <s v="Emitida"/>
    <d v="2019-05-14T00:00:00"/>
    <d v="2019-04-23T00:00:00"/>
    <x v="67"/>
    <m/>
    <n v="13744"/>
    <x v="152"/>
    <x v="0"/>
  </r>
  <r>
    <x v="7"/>
    <s v="Emitida"/>
    <d v="2019-05-14T00:00:00"/>
    <d v="2019-04-23T00:00:00"/>
    <x v="67"/>
    <m/>
    <n v="14344"/>
    <x v="153"/>
    <x v="0"/>
  </r>
  <r>
    <x v="7"/>
    <s v="Emitida"/>
    <d v="2019-05-14T00:00:00"/>
    <d v="2019-04-25T00:00:00"/>
    <x v="67"/>
    <m/>
    <n v="14834"/>
    <x v="154"/>
    <x v="0"/>
  </r>
  <r>
    <x v="7"/>
    <s v="Emitida"/>
    <d v="2019-05-14T00:00:00"/>
    <d v="2019-04-25T00:00:00"/>
    <x v="67"/>
    <m/>
    <n v="14139"/>
    <x v="155"/>
    <x v="0"/>
  </r>
  <r>
    <x v="6"/>
    <s v="Emitida"/>
    <d v="2019-05-14T00:00:00"/>
    <d v="2019-05-13T00:00:00"/>
    <x v="57"/>
    <m/>
    <n v="22338"/>
    <x v="156"/>
    <x v="0"/>
  </r>
  <r>
    <x v="6"/>
    <s v="Emitida"/>
    <d v="2019-05-14T00:00:00"/>
    <d v="2019-05-13T00:00:00"/>
    <x v="57"/>
    <m/>
    <n v="29885"/>
    <x v="157"/>
    <x v="0"/>
  </r>
  <r>
    <x v="6"/>
    <s v="Cancela"/>
    <d v="2019-05-14T00:00:00"/>
    <d v="2019-05-13T00:00:00"/>
    <x v="57"/>
    <d v="2019-05-14T00:00:00"/>
    <n v="22338"/>
    <x v="156"/>
    <x v="0"/>
  </r>
  <r>
    <x v="19"/>
    <s v="Emitida"/>
    <d v="2019-05-14T00:00:00"/>
    <d v="2019-05-14T00:00:00"/>
    <x v="67"/>
    <m/>
    <n v="21015.7"/>
    <x v="158"/>
    <x v="0"/>
  </r>
  <r>
    <x v="21"/>
    <s v="Emitida"/>
    <d v="2019-05-13T00:00:00"/>
    <d v="2019-04-11T00:00:00"/>
    <x v="68"/>
    <m/>
    <n v="5079.4399999999996"/>
    <x v="159"/>
    <x v="0"/>
  </r>
  <r>
    <x v="4"/>
    <s v="Emitida"/>
    <d v="2019-05-13T00:00:00"/>
    <d v="2019-05-13T00:00:00"/>
    <x v="69"/>
    <m/>
    <n v="17000"/>
    <x v="109"/>
    <x v="0"/>
  </r>
  <r>
    <x v="7"/>
    <s v="Emitida"/>
    <d v="2019-05-10T00:00:00"/>
    <d v="2019-05-10T00:00:00"/>
    <x v="70"/>
    <m/>
    <n v="6722"/>
    <x v="160"/>
    <x v="0"/>
  </r>
  <r>
    <x v="7"/>
    <s v="Emitida"/>
    <d v="2019-05-10T00:00:00"/>
    <d v="2019-04-30T00:00:00"/>
    <x v="70"/>
    <m/>
    <n v="7535"/>
    <x v="161"/>
    <x v="0"/>
  </r>
  <r>
    <x v="7"/>
    <s v="Emitida"/>
    <d v="2019-05-10T00:00:00"/>
    <d v="2019-04-30T00:00:00"/>
    <x v="70"/>
    <m/>
    <n v="7481"/>
    <x v="151"/>
    <x v="0"/>
  </r>
  <r>
    <x v="7"/>
    <s v="Emitida"/>
    <d v="2019-05-10T00:00:00"/>
    <d v="2019-04-30T00:00:00"/>
    <x v="70"/>
    <m/>
    <n v="5750"/>
    <x v="162"/>
    <x v="0"/>
  </r>
  <r>
    <x v="7"/>
    <s v="Emitida"/>
    <d v="2019-05-10T00:00:00"/>
    <d v="2019-04-30T00:00:00"/>
    <x v="70"/>
    <m/>
    <n v="7131"/>
    <x v="163"/>
    <x v="0"/>
  </r>
  <r>
    <x v="7"/>
    <s v="Emitida"/>
    <d v="2019-05-10T00:00:00"/>
    <d v="2019-04-25T00:00:00"/>
    <x v="70"/>
    <m/>
    <n v="13382"/>
    <x v="164"/>
    <x v="0"/>
  </r>
  <r>
    <x v="7"/>
    <s v="Emitida"/>
    <d v="2019-05-10T00:00:00"/>
    <d v="2019-04-25T00:00:00"/>
    <x v="70"/>
    <m/>
    <n v="7499"/>
    <x v="165"/>
    <x v="0"/>
  </r>
  <r>
    <x v="7"/>
    <s v="Emitida"/>
    <d v="2019-05-10T00:00:00"/>
    <d v="2019-04-25T00:00:00"/>
    <x v="70"/>
    <m/>
    <n v="13410"/>
    <x v="166"/>
    <x v="0"/>
  </r>
  <r>
    <x v="7"/>
    <s v="Emitida"/>
    <d v="2019-05-10T00:00:00"/>
    <d v="2019-04-25T00:00:00"/>
    <x v="70"/>
    <m/>
    <n v="7999"/>
    <x v="167"/>
    <x v="0"/>
  </r>
  <r>
    <x v="7"/>
    <s v="Emitida"/>
    <d v="2019-05-10T00:00:00"/>
    <d v="2019-04-23T00:00:00"/>
    <x v="70"/>
    <m/>
    <n v="6161"/>
    <x v="146"/>
    <x v="0"/>
  </r>
  <r>
    <x v="7"/>
    <s v="Emitida"/>
    <d v="2019-05-10T00:00:00"/>
    <d v="2019-04-23T00:00:00"/>
    <x v="70"/>
    <m/>
    <n v="7559"/>
    <x v="168"/>
    <x v="0"/>
  </r>
  <r>
    <x v="7"/>
    <s v="Emitida"/>
    <d v="2019-05-10T00:00:00"/>
    <d v="2019-04-08T00:00:00"/>
    <x v="70"/>
    <m/>
    <n v="7195"/>
    <x v="169"/>
    <x v="0"/>
  </r>
  <r>
    <x v="7"/>
    <s v="Emitida"/>
    <d v="2019-05-10T00:00:00"/>
    <d v="2019-04-08T00:00:00"/>
    <x v="70"/>
    <m/>
    <n v="6161"/>
    <x v="146"/>
    <x v="0"/>
  </r>
  <r>
    <x v="7"/>
    <s v="Emitida"/>
    <d v="2019-05-10T00:00:00"/>
    <d v="2019-04-02T00:00:00"/>
    <x v="70"/>
    <m/>
    <n v="14184"/>
    <x v="170"/>
    <x v="0"/>
  </r>
  <r>
    <x v="7"/>
    <s v="Emitida"/>
    <d v="2019-05-10T00:00:00"/>
    <d v="2019-04-02T00:00:00"/>
    <x v="70"/>
    <m/>
    <n v="20441"/>
    <x v="171"/>
    <x v="0"/>
  </r>
  <r>
    <x v="7"/>
    <s v="Emitida"/>
    <d v="2019-05-10T00:00:00"/>
    <s v="00:00:00"/>
    <x v="70"/>
    <m/>
    <n v="7586"/>
    <x v="172"/>
    <x v="0"/>
  </r>
  <r>
    <x v="7"/>
    <s v="Emitida"/>
    <d v="2019-05-10T00:00:00"/>
    <d v="2019-03-22T00:00:00"/>
    <x v="70"/>
    <m/>
    <n v="40432"/>
    <x v="173"/>
    <x v="0"/>
  </r>
  <r>
    <x v="7"/>
    <s v="Emitida"/>
    <d v="2019-05-10T00:00:00"/>
    <d v="2019-03-20T00:00:00"/>
    <x v="70"/>
    <m/>
    <n v="15139"/>
    <x v="174"/>
    <x v="0"/>
  </r>
  <r>
    <x v="19"/>
    <s v="Emitida"/>
    <d v="2019-05-10T00:00:00"/>
    <d v="2019-05-10T00:00:00"/>
    <x v="70"/>
    <m/>
    <n v="15550.2"/>
    <x v="175"/>
    <x v="0"/>
  </r>
  <r>
    <x v="12"/>
    <s v="Emitida"/>
    <d v="2019-05-10T00:00:00"/>
    <d v="2019-05-10T00:00:00"/>
    <x v="71"/>
    <m/>
    <n v="500"/>
    <x v="176"/>
    <x v="0"/>
  </r>
  <r>
    <x v="6"/>
    <s v="Emitida"/>
    <d v="2019-05-09T00:00:00"/>
    <d v="2019-05-07T00:00:00"/>
    <x v="60"/>
    <m/>
    <n v="31729"/>
    <x v="177"/>
    <x v="0"/>
  </r>
  <r>
    <x v="6"/>
    <s v="Emitida"/>
    <d v="2019-05-09T00:00:00"/>
    <d v="2019-05-03T00:00:00"/>
    <x v="60"/>
    <m/>
    <n v="13911"/>
    <x v="178"/>
    <x v="0"/>
  </r>
  <r>
    <x v="6"/>
    <s v="Emitida"/>
    <d v="2019-05-09T00:00:00"/>
    <d v="2019-05-02T00:00:00"/>
    <x v="60"/>
    <m/>
    <n v="20754"/>
    <x v="179"/>
    <x v="0"/>
  </r>
  <r>
    <x v="6"/>
    <s v="Emitida"/>
    <d v="2019-05-09T00:00:00"/>
    <d v="2019-04-30T00:00:00"/>
    <x v="60"/>
    <m/>
    <n v="14428"/>
    <x v="180"/>
    <x v="0"/>
  </r>
  <r>
    <x v="6"/>
    <s v="Emitida"/>
    <d v="2019-05-09T00:00:00"/>
    <d v="2019-04-30T00:00:00"/>
    <x v="60"/>
    <m/>
    <n v="29367"/>
    <x v="181"/>
    <x v="0"/>
  </r>
  <r>
    <x v="6"/>
    <s v="Emitida"/>
    <d v="2019-05-09T00:00:00"/>
    <d v="2019-04-30T00:00:00"/>
    <x v="60"/>
    <m/>
    <n v="14932"/>
    <x v="182"/>
    <x v="0"/>
  </r>
  <r>
    <x v="6"/>
    <s v="Emitida"/>
    <d v="2019-05-09T00:00:00"/>
    <d v="2019-04-25T00:00:00"/>
    <x v="60"/>
    <m/>
    <n v="14892"/>
    <x v="183"/>
    <x v="0"/>
  </r>
  <r>
    <x v="7"/>
    <s v="Emitida"/>
    <d v="2019-05-09T00:00:00"/>
    <d v="2019-05-07T00:00:00"/>
    <x v="72"/>
    <m/>
    <n v="13616"/>
    <x v="184"/>
    <x v="0"/>
  </r>
  <r>
    <x v="7"/>
    <s v="Emitida"/>
    <d v="2019-05-09T00:00:00"/>
    <d v="2019-05-07T00:00:00"/>
    <x v="72"/>
    <m/>
    <n v="14151"/>
    <x v="185"/>
    <x v="0"/>
  </r>
  <r>
    <x v="7"/>
    <s v="Emitida"/>
    <d v="2019-05-09T00:00:00"/>
    <d v="2019-05-09T00:00:00"/>
    <x v="72"/>
    <m/>
    <n v="13687"/>
    <x v="186"/>
    <x v="0"/>
  </r>
  <r>
    <x v="7"/>
    <s v="Cancela"/>
    <d v="2019-05-09T00:00:00"/>
    <d v="2019-05-03T00:00:00"/>
    <x v="72"/>
    <d v="2019-05-09T00:00:00"/>
    <n v="13687"/>
    <x v="186"/>
    <x v="0"/>
  </r>
  <r>
    <x v="7"/>
    <s v="Emitida"/>
    <d v="2019-05-09T00:00:00"/>
    <d v="2019-05-03T00:00:00"/>
    <x v="72"/>
    <m/>
    <n v="8026"/>
    <x v="187"/>
    <x v="0"/>
  </r>
  <r>
    <x v="7"/>
    <s v="Devuelta"/>
    <d v="2019-05-09T00:00:00"/>
    <d v="2019-05-03T00:00:00"/>
    <x v="72"/>
    <m/>
    <n v="14179"/>
    <x v="188"/>
    <x v="0"/>
  </r>
  <r>
    <x v="7"/>
    <s v="Emitida"/>
    <d v="2019-05-09T00:00:00"/>
    <d v="2019-05-09T00:00:00"/>
    <x v="72"/>
    <m/>
    <n v="7176"/>
    <x v="189"/>
    <x v="0"/>
  </r>
  <r>
    <x v="19"/>
    <s v="Emitida"/>
    <d v="2019-05-09T00:00:00"/>
    <d v="2019-05-09T00:00:00"/>
    <x v="72"/>
    <m/>
    <n v="11062.2"/>
    <x v="190"/>
    <x v="0"/>
  </r>
  <r>
    <x v="7"/>
    <s v="Cancela"/>
    <d v="2019-05-09T00:00:00"/>
    <d v="2019-05-02T00:00:00"/>
    <x v="72"/>
    <d v="2019-05-09T00:00:00"/>
    <n v="7176"/>
    <x v="189"/>
    <x v="0"/>
  </r>
  <r>
    <x v="19"/>
    <s v="Emitida"/>
    <d v="2019-05-08T00:00:00"/>
    <d v="2019-05-08T00:00:00"/>
    <x v="73"/>
    <m/>
    <n v="8920.6"/>
    <x v="191"/>
    <x v="0"/>
  </r>
  <r>
    <x v="19"/>
    <s v="Emitida"/>
    <d v="2019-05-08T00:00:00"/>
    <d v="2019-05-08T00:00:00"/>
    <x v="73"/>
    <m/>
    <n v="3758.04"/>
    <x v="192"/>
    <x v="0"/>
  </r>
  <r>
    <x v="8"/>
    <s v="Emitida"/>
    <d v="2019-05-08T00:00:00"/>
    <d v="2019-05-08T00:00:00"/>
    <x v="74"/>
    <m/>
    <n v="26211"/>
    <x v="193"/>
    <x v="0"/>
  </r>
  <r>
    <x v="19"/>
    <s v="Emitida"/>
    <d v="2019-05-07T00:00:00"/>
    <d v="2019-05-07T00:00:00"/>
    <x v="75"/>
    <m/>
    <n v="3758.04"/>
    <x v="192"/>
    <x v="0"/>
  </r>
  <r>
    <x v="19"/>
    <s v="Emitida"/>
    <d v="2019-05-07T00:00:00"/>
    <d v="2019-05-07T00:00:00"/>
    <x v="75"/>
    <m/>
    <n v="2201.6799999999998"/>
    <x v="194"/>
    <x v="0"/>
  </r>
  <r>
    <x v="19"/>
    <s v="Emitida"/>
    <d v="2019-05-07T00:00:00"/>
    <d v="2019-05-07T00:00:00"/>
    <x v="75"/>
    <m/>
    <n v="2676.18"/>
    <x v="195"/>
    <x v="0"/>
  </r>
  <r>
    <x v="6"/>
    <s v="Emitida"/>
    <d v="2019-05-06T00:00:00"/>
    <d v="2019-05-06T00:00:00"/>
    <x v="76"/>
    <m/>
    <n v="64328"/>
    <x v="196"/>
    <x v="0"/>
  </r>
  <r>
    <x v="11"/>
    <s v="Emitida"/>
    <d v="2019-05-06T00:00:00"/>
    <d v="2019-05-06T00:00:00"/>
    <x v="50"/>
    <m/>
    <n v="2340"/>
    <x v="197"/>
    <x v="0"/>
  </r>
  <r>
    <x v="4"/>
    <s v="Emitida"/>
    <d v="2019-05-03T00:00:00"/>
    <d v="2019-05-03T00:00:00"/>
    <x v="77"/>
    <m/>
    <n v="17000"/>
    <x v="109"/>
    <x v="0"/>
  </r>
  <r>
    <x v="19"/>
    <s v="Emitida"/>
    <d v="2019-05-02T00:00:00"/>
    <d v="2019-05-02T00:00:00"/>
    <x v="78"/>
    <m/>
    <n v="9581.0400000000009"/>
    <x v="198"/>
    <x v="0"/>
  </r>
  <r>
    <x v="9"/>
    <s v="Emitida"/>
    <d v="2019-04-30T00:00:00"/>
    <d v="2019-04-30T00:00:00"/>
    <x v="79"/>
    <m/>
    <n v="16980"/>
    <x v="199"/>
    <x v="0"/>
  </r>
  <r>
    <x v="6"/>
    <s v="Emitida"/>
    <d v="2019-04-29T00:00:00"/>
    <d v="2019-04-29T00:00:00"/>
    <x v="67"/>
    <m/>
    <n v="1920"/>
    <x v="200"/>
    <x v="0"/>
  </r>
  <r>
    <x v="19"/>
    <s v="Emitida"/>
    <d v="2019-04-29T00:00:00"/>
    <d v="2019-04-29T00:00:00"/>
    <x v="66"/>
    <m/>
    <n v="3798.91"/>
    <x v="201"/>
    <x v="0"/>
  </r>
  <r>
    <x v="6"/>
    <s v="Emitida"/>
    <d v="2019-04-26T00:00:00"/>
    <d v="2019-04-26T00:00:00"/>
    <x v="80"/>
    <m/>
    <n v="30033"/>
    <x v="202"/>
    <x v="0"/>
  </r>
  <r>
    <x v="19"/>
    <s v="Emitida"/>
    <d v="2019-04-25T00:00:00"/>
    <d v="2019-04-25T00:00:00"/>
    <x v="71"/>
    <m/>
    <n v="14523.3"/>
    <x v="203"/>
    <x v="0"/>
  </r>
  <r>
    <x v="22"/>
    <s v="Emitida"/>
    <d v="2019-04-24T00:00:00"/>
    <d v="2019-04-24T00:00:00"/>
    <x v="81"/>
    <m/>
    <n v="6940"/>
    <x v="204"/>
    <x v="0"/>
  </r>
  <r>
    <x v="4"/>
    <s v="Emitida"/>
    <d v="2019-04-24T00:00:00"/>
    <d v="2019-04-24T00:00:00"/>
    <x v="81"/>
    <m/>
    <n v="44984"/>
    <x v="205"/>
    <x v="0"/>
  </r>
  <r>
    <x v="6"/>
    <s v="Emitida"/>
    <d v="2019-04-24T00:00:00"/>
    <d v="2019-04-24T00:00:00"/>
    <x v="72"/>
    <m/>
    <n v="26751"/>
    <x v="206"/>
    <x v="0"/>
  </r>
  <r>
    <x v="6"/>
    <s v="Cancela"/>
    <d v="2019-04-24T00:00:00"/>
    <d v="2019-04-24T00:00:00"/>
    <x v="72"/>
    <d v="2019-04-24T00:00:00"/>
    <n v="26751"/>
    <x v="206"/>
    <x v="0"/>
  </r>
  <r>
    <x v="7"/>
    <s v="Emitida"/>
    <d v="2019-04-23T00:00:00"/>
    <d v="2019-04-23T00:00:00"/>
    <x v="82"/>
    <m/>
    <n v="400"/>
    <x v="207"/>
    <x v="0"/>
  </r>
  <r>
    <x v="13"/>
    <s v="Emitida"/>
    <d v="2019-04-23T00:00:00"/>
    <d v="2019-04-23T00:00:00"/>
    <x v="73"/>
    <m/>
    <n v="2604.4"/>
    <x v="208"/>
    <x v="0"/>
  </r>
  <r>
    <x v="19"/>
    <s v="Emitida"/>
    <d v="2019-04-23T00:00:00"/>
    <d v="2019-04-23T00:00:00"/>
    <x v="82"/>
    <m/>
    <n v="12422.1"/>
    <x v="209"/>
    <x v="0"/>
  </r>
  <r>
    <x v="19"/>
    <s v="Emitida"/>
    <d v="2019-04-23T00:00:00"/>
    <d v="2019-04-23T00:00:00"/>
    <x v="82"/>
    <m/>
    <n v="15230.8"/>
    <x v="210"/>
    <x v="0"/>
  </r>
  <r>
    <x v="19"/>
    <s v="Emitida"/>
    <d v="2019-04-23T00:00:00"/>
    <d v="2019-04-23T00:00:00"/>
    <x v="82"/>
    <m/>
    <n v="22488"/>
    <x v="211"/>
    <x v="0"/>
  </r>
  <r>
    <x v="6"/>
    <s v="Emitida"/>
    <d v="2019-04-23T00:00:00"/>
    <d v="2019-04-11T00:00:00"/>
    <x v="73"/>
    <m/>
    <n v="20187"/>
    <x v="212"/>
    <x v="0"/>
  </r>
  <r>
    <x v="6"/>
    <s v="Emitida"/>
    <d v="2019-04-23T00:00:00"/>
    <d v="2019-04-10T00:00:00"/>
    <x v="73"/>
    <m/>
    <n v="20277"/>
    <x v="213"/>
    <x v="0"/>
  </r>
  <r>
    <x v="6"/>
    <s v="Emitida"/>
    <d v="2019-04-23T00:00:00"/>
    <d v="2019-04-09T00:00:00"/>
    <x v="73"/>
    <m/>
    <n v="14838"/>
    <x v="214"/>
    <x v="0"/>
  </r>
  <r>
    <x v="6"/>
    <s v="Emitida"/>
    <d v="2019-04-23T00:00:00"/>
    <d v="2019-04-08T00:00:00"/>
    <x v="73"/>
    <m/>
    <n v="23051"/>
    <x v="215"/>
    <x v="0"/>
  </r>
  <r>
    <x v="6"/>
    <s v="Emitida"/>
    <d v="2019-04-23T00:00:00"/>
    <d v="2019-04-03T00:00:00"/>
    <x v="73"/>
    <m/>
    <n v="36700"/>
    <x v="111"/>
    <x v="0"/>
  </r>
  <r>
    <x v="6"/>
    <s v="Emitida"/>
    <d v="2019-04-23T00:00:00"/>
    <d v="2019-04-02T00:00:00"/>
    <x v="73"/>
    <m/>
    <n v="20830"/>
    <x v="216"/>
    <x v="0"/>
  </r>
  <r>
    <x v="14"/>
    <s v="Emitida"/>
    <d v="2019-04-23T00:00:00"/>
    <d v="2019-04-23T00:00:00"/>
    <x v="83"/>
    <m/>
    <n v="2954"/>
    <x v="217"/>
    <x v="0"/>
  </r>
  <r>
    <x v="19"/>
    <s v="Emitida"/>
    <d v="2019-04-22T00:00:00"/>
    <d v="2019-04-22T00:00:00"/>
    <x v="79"/>
    <m/>
    <n v="3183.6"/>
    <x v="218"/>
    <x v="0"/>
  </r>
  <r>
    <x v="19"/>
    <s v="Emitida"/>
    <d v="2019-04-22T00:00:00"/>
    <d v="2019-04-22T00:00:00"/>
    <x v="79"/>
    <m/>
    <n v="3183.6"/>
    <x v="218"/>
    <x v="0"/>
  </r>
  <r>
    <x v="19"/>
    <s v="Emitida"/>
    <d v="2019-04-22T00:00:00"/>
    <d v="2019-04-22T00:00:00"/>
    <x v="79"/>
    <m/>
    <n v="3752.1"/>
    <x v="219"/>
    <x v="0"/>
  </r>
  <r>
    <x v="19"/>
    <s v="Emitida"/>
    <d v="2019-04-22T00:00:00"/>
    <d v="2019-04-22T00:00:00"/>
    <x v="79"/>
    <m/>
    <n v="2671.95"/>
    <x v="220"/>
    <x v="0"/>
  </r>
  <r>
    <x v="19"/>
    <s v="Emitida"/>
    <d v="2019-04-22T00:00:00"/>
    <d v="2019-04-22T00:00:00"/>
    <x v="79"/>
    <m/>
    <n v="2671.95"/>
    <x v="220"/>
    <x v="0"/>
  </r>
  <r>
    <x v="13"/>
    <s v="Emitida"/>
    <d v="2019-04-22T00:00:00"/>
    <d v="2019-04-22T00:00:00"/>
    <x v="75"/>
    <m/>
    <n v="1302.2"/>
    <x v="221"/>
    <x v="0"/>
  </r>
  <r>
    <x v="6"/>
    <s v="Emitida"/>
    <d v="2019-04-22T00:00:00"/>
    <d v="2019-04-02T00:00:00"/>
    <x v="75"/>
    <m/>
    <n v="6711"/>
    <x v="222"/>
    <x v="0"/>
  </r>
  <r>
    <x v="8"/>
    <s v="Emitida"/>
    <d v="2019-04-22T00:00:00"/>
    <d v="2019-04-22T00:00:00"/>
    <x v="61"/>
    <m/>
    <n v="40701"/>
    <x v="223"/>
    <x v="0"/>
  </r>
  <r>
    <x v="6"/>
    <s v="Emitida"/>
    <d v="2019-04-22T00:00:00"/>
    <d v="2019-04-22T00:00:00"/>
    <x v="75"/>
    <m/>
    <n v="4133"/>
    <x v="224"/>
    <x v="0"/>
  </r>
  <r>
    <x v="13"/>
    <s v="Emitida"/>
    <d v="2019-04-17T00:00:00"/>
    <d v="2019-04-17T00:00:00"/>
    <x v="78"/>
    <m/>
    <n v="1302.2"/>
    <x v="221"/>
    <x v="0"/>
  </r>
  <r>
    <x v="14"/>
    <s v="Emitida"/>
    <d v="2019-04-17T00:00:00"/>
    <d v="2019-04-17T00:00:00"/>
    <x v="84"/>
    <m/>
    <n v="1477"/>
    <x v="225"/>
    <x v="0"/>
  </r>
  <r>
    <x v="14"/>
    <s v="Cancela"/>
    <d v="2019-04-17T00:00:00"/>
    <d v="2019-04-17T00:00:00"/>
    <x v="84"/>
    <d v="2019-04-17T00:00:00"/>
    <n v="1477"/>
    <x v="225"/>
    <x v="0"/>
  </r>
  <r>
    <x v="19"/>
    <s v="Emitida"/>
    <d v="2019-04-17T00:00:00"/>
    <d v="2019-04-17T00:00:00"/>
    <x v="85"/>
    <m/>
    <n v="8369.4"/>
    <x v="226"/>
    <x v="0"/>
  </r>
  <r>
    <x v="4"/>
    <s v="Cancela"/>
    <d v="2019-04-15T00:00:00"/>
    <d v="2019-04-15T00:00:00"/>
    <x v="83"/>
    <d v="2019-04-25T00:00:00"/>
    <n v="17000"/>
    <x v="109"/>
    <x v="0"/>
  </r>
  <r>
    <x v="4"/>
    <s v="Cancela"/>
    <d v="2019-04-15T00:00:00"/>
    <d v="2019-04-15T00:00:00"/>
    <x v="83"/>
    <d v="2019-04-25T00:00:00"/>
    <n v="27984"/>
    <x v="227"/>
    <x v="0"/>
  </r>
  <r>
    <x v="7"/>
    <s v="Emitida"/>
    <d v="2019-04-12T00:00:00"/>
    <d v="2019-04-12T00:00:00"/>
    <x v="86"/>
    <m/>
    <n v="7517"/>
    <x v="228"/>
    <x v="0"/>
  </r>
  <r>
    <x v="7"/>
    <s v="Emitida"/>
    <d v="2019-04-12T00:00:00"/>
    <d v="2019-04-12T00:00:00"/>
    <x v="86"/>
    <m/>
    <n v="6161"/>
    <x v="146"/>
    <x v="0"/>
  </r>
  <r>
    <x v="7"/>
    <s v="Emitida"/>
    <d v="2019-04-12T00:00:00"/>
    <d v="2019-04-12T00:00:00"/>
    <x v="86"/>
    <m/>
    <n v="7499"/>
    <x v="165"/>
    <x v="0"/>
  </r>
  <r>
    <x v="7"/>
    <s v="Emitida"/>
    <d v="2019-04-12T00:00:00"/>
    <d v="2019-04-25T00:00:00"/>
    <x v="86"/>
    <m/>
    <n v="7167"/>
    <x v="229"/>
    <x v="0"/>
  </r>
  <r>
    <x v="7"/>
    <s v="Emitida"/>
    <d v="2019-04-12T00:00:00"/>
    <d v="2019-04-10T00:00:00"/>
    <x v="86"/>
    <m/>
    <n v="28392"/>
    <x v="230"/>
    <x v="0"/>
  </r>
  <r>
    <x v="23"/>
    <s v="Emitida"/>
    <d v="2019-04-12T00:00:00"/>
    <d v="2019-04-12T00:00:00"/>
    <x v="58"/>
    <m/>
    <n v="17857"/>
    <x v="231"/>
    <x v="0"/>
  </r>
  <r>
    <x v="8"/>
    <s v="Emitida"/>
    <d v="2019-04-12T00:00:00"/>
    <d v="2019-04-12T00:00:00"/>
    <x v="87"/>
    <m/>
    <n v="50336"/>
    <x v="232"/>
    <x v="0"/>
  </r>
  <r>
    <x v="19"/>
    <s v="Emitida"/>
    <d v="2019-04-12T00:00:00"/>
    <d v="2019-04-12T00:00:00"/>
    <x v="86"/>
    <m/>
    <n v="20874.7"/>
    <x v="233"/>
    <x v="0"/>
  </r>
  <r>
    <x v="7"/>
    <s v="Cancela"/>
    <d v="2019-04-12T00:00:00"/>
    <d v="2019-04-10T00:00:00"/>
    <x v="86"/>
    <d v="2019-04-12T00:00:00"/>
    <n v="28392"/>
    <x v="230"/>
    <x v="1"/>
  </r>
  <r>
    <x v="23"/>
    <s v="Cancela"/>
    <d v="2019-04-12T00:00:00"/>
    <d v="2019-04-12T00:00:00"/>
    <x v="58"/>
    <d v="2019-04-12T00:00:00"/>
    <n v="17857"/>
    <x v="231"/>
    <x v="1"/>
  </r>
  <r>
    <x v="19"/>
    <s v="Emitida"/>
    <d v="2019-04-11T00:00:00"/>
    <d v="2019-04-11T00:00:00"/>
    <x v="88"/>
    <m/>
    <n v="25050"/>
    <x v="234"/>
    <x v="0"/>
  </r>
  <r>
    <x v="8"/>
    <s v="Emitida"/>
    <d v="2019-04-10T00:00:00"/>
    <d v="2019-04-10T00:00:00"/>
    <x v="70"/>
    <m/>
    <n v="22500"/>
    <x v="235"/>
    <x v="0"/>
  </r>
  <r>
    <x v="6"/>
    <s v="Emitida"/>
    <d v="2019-04-10T00:00:00"/>
    <d v="2019-04-10T00:00:00"/>
    <x v="71"/>
    <m/>
    <n v="8266"/>
    <x v="236"/>
    <x v="0"/>
  </r>
  <r>
    <x v="19"/>
    <s v="Emitida"/>
    <d v="2019-04-10T00:00:00"/>
    <d v="2019-04-10T00:00:00"/>
    <x v="89"/>
    <m/>
    <n v="38243.5"/>
    <x v="237"/>
    <x v="0"/>
  </r>
  <r>
    <x v="19"/>
    <s v="Emitida"/>
    <d v="2019-04-08T00:00:00"/>
    <d v="2019-04-08T00:00:00"/>
    <x v="90"/>
    <m/>
    <n v="18479.8"/>
    <x v="238"/>
    <x v="0"/>
  </r>
  <r>
    <x v="13"/>
    <s v="Emitida"/>
    <d v="2019-04-05T00:00:00"/>
    <d v="2019-04-05T00:00:00"/>
    <x v="91"/>
    <m/>
    <n v="11050"/>
    <x v="239"/>
    <x v="0"/>
  </r>
  <r>
    <x v="6"/>
    <s v="Emitida"/>
    <d v="2019-04-04T00:00:00"/>
    <d v="2019-04-04T00:00:00"/>
    <x v="92"/>
    <m/>
    <n v="5382"/>
    <x v="240"/>
    <x v="0"/>
  </r>
  <r>
    <x v="7"/>
    <s v="Emitida"/>
    <d v="2019-04-02T00:00:00"/>
    <d v="2019-03-28T00:00:00"/>
    <x v="93"/>
    <m/>
    <n v="7499"/>
    <x v="165"/>
    <x v="0"/>
  </r>
  <r>
    <x v="7"/>
    <s v="Emitida"/>
    <d v="2019-04-02T00:00:00"/>
    <d v="2019-03-28T00:00:00"/>
    <x v="93"/>
    <m/>
    <n v="14112"/>
    <x v="241"/>
    <x v="0"/>
  </r>
  <r>
    <x v="7"/>
    <s v="Emitida"/>
    <d v="2019-04-02T00:00:00"/>
    <d v="2019-03-28T00:00:00"/>
    <x v="93"/>
    <m/>
    <n v="13762"/>
    <x v="242"/>
    <x v="0"/>
  </r>
  <r>
    <x v="7"/>
    <s v="Emitida"/>
    <d v="2019-04-02T00:00:00"/>
    <d v="2019-03-28T00:00:00"/>
    <x v="93"/>
    <m/>
    <n v="15668"/>
    <x v="243"/>
    <x v="0"/>
  </r>
  <r>
    <x v="7"/>
    <s v="Emitida"/>
    <d v="2019-04-02T00:00:00"/>
    <d v="2019-03-26T00:00:00"/>
    <x v="93"/>
    <m/>
    <n v="7177"/>
    <x v="244"/>
    <x v="0"/>
  </r>
  <r>
    <x v="7"/>
    <s v="Emitida"/>
    <d v="2019-04-02T00:00:00"/>
    <d v="2019-04-02T00:00:00"/>
    <x v="93"/>
    <m/>
    <n v="7649"/>
    <x v="245"/>
    <x v="0"/>
  </r>
  <r>
    <x v="7"/>
    <s v="Emitida"/>
    <d v="2019-04-02T00:00:00"/>
    <d v="2019-04-02T00:00:00"/>
    <x v="93"/>
    <m/>
    <n v="7499"/>
    <x v="165"/>
    <x v="0"/>
  </r>
  <r>
    <x v="7"/>
    <s v="Emitida"/>
    <d v="2019-04-02T00:00:00"/>
    <d v="2019-04-02T00:00:00"/>
    <x v="93"/>
    <m/>
    <n v="7158"/>
    <x v="246"/>
    <x v="0"/>
  </r>
  <r>
    <x v="6"/>
    <s v="Emitida"/>
    <d v="2019-04-01T00:00:00"/>
    <d v="2019-04-01T00:00:00"/>
    <x v="94"/>
    <m/>
    <n v="7061"/>
    <x v="247"/>
    <x v="0"/>
  </r>
  <r>
    <x v="6"/>
    <s v="Emitida"/>
    <d v="2019-04-01T00:00:00"/>
    <d v="2019-04-01T00:00:00"/>
    <x v="94"/>
    <m/>
    <n v="7726"/>
    <x v="248"/>
    <x v="0"/>
  </r>
  <r>
    <x v="6"/>
    <s v="Emitida"/>
    <d v="2019-04-01T00:00:00"/>
    <d v="2019-04-01T00:00:00"/>
    <x v="94"/>
    <m/>
    <n v="6711"/>
    <x v="222"/>
    <x v="0"/>
  </r>
  <r>
    <x v="6"/>
    <s v="Emitida"/>
    <d v="2019-04-01T00:00:00"/>
    <d v="2019-04-01T00:00:00"/>
    <x v="94"/>
    <m/>
    <n v="6711"/>
    <x v="222"/>
    <x v="0"/>
  </r>
  <r>
    <x v="6"/>
    <s v="Emitida"/>
    <d v="2019-04-01T00:00:00"/>
    <d v="2019-04-01T00:00:00"/>
    <x v="94"/>
    <m/>
    <n v="7011"/>
    <x v="249"/>
    <x v="0"/>
  </r>
  <r>
    <x v="6"/>
    <s v="Emitida"/>
    <d v="2019-04-01T00:00:00"/>
    <d v="2019-04-01T00:00:00"/>
    <x v="94"/>
    <m/>
    <n v="6711"/>
    <x v="222"/>
    <x v="0"/>
  </r>
  <r>
    <x v="6"/>
    <s v="Emitida"/>
    <d v="2019-04-01T00:00:00"/>
    <d v="2019-04-01T00:00:00"/>
    <x v="94"/>
    <m/>
    <n v="8145"/>
    <x v="250"/>
    <x v="0"/>
  </r>
  <r>
    <x v="6"/>
    <s v="Emitida"/>
    <d v="2019-04-01T00:00:00"/>
    <d v="2019-04-01T00:00:00"/>
    <x v="94"/>
    <m/>
    <n v="6709"/>
    <x v="251"/>
    <x v="0"/>
  </r>
  <r>
    <x v="6"/>
    <s v="Emitida"/>
    <d v="2019-04-01T00:00:00"/>
    <d v="2019-04-01T00:00:00"/>
    <x v="94"/>
    <m/>
    <n v="7627"/>
    <x v="252"/>
    <x v="0"/>
  </r>
  <r>
    <x v="6"/>
    <s v="Emitida"/>
    <d v="2019-04-01T00:00:00"/>
    <d v="2019-04-01T00:00:00"/>
    <x v="94"/>
    <m/>
    <n v="7144"/>
    <x v="253"/>
    <x v="0"/>
  </r>
  <r>
    <x v="6"/>
    <s v="Emitida"/>
    <d v="2019-04-01T00:00:00"/>
    <d v="2019-04-01T00:00:00"/>
    <x v="94"/>
    <m/>
    <n v="7709"/>
    <x v="254"/>
    <x v="0"/>
  </r>
  <r>
    <x v="6"/>
    <s v="Emitida"/>
    <d v="2019-04-01T00:00:00"/>
    <d v="2019-04-01T00:00:00"/>
    <x v="94"/>
    <m/>
    <n v="6600"/>
    <x v="255"/>
    <x v="0"/>
  </r>
  <r>
    <x v="6"/>
    <s v="Emitida"/>
    <d v="2019-04-01T00:00:00"/>
    <d v="2019-04-01T00:00:00"/>
    <x v="94"/>
    <m/>
    <n v="6711"/>
    <x v="222"/>
    <x v="0"/>
  </r>
  <r>
    <x v="6"/>
    <s v="Emitida"/>
    <d v="2019-04-01T00:00:00"/>
    <d v="2019-04-01T00:00:00"/>
    <x v="94"/>
    <m/>
    <n v="8409"/>
    <x v="256"/>
    <x v="0"/>
  </r>
  <r>
    <x v="6"/>
    <s v="Emitida"/>
    <d v="2019-04-01T00:00:00"/>
    <d v="2019-04-01T00:00:00"/>
    <x v="94"/>
    <m/>
    <n v="7710"/>
    <x v="257"/>
    <x v="0"/>
  </r>
  <r>
    <x v="6"/>
    <s v="Emitida"/>
    <d v="2019-04-01T00:00:00"/>
    <d v="2019-04-01T00:00:00"/>
    <x v="94"/>
    <m/>
    <n v="8209"/>
    <x v="258"/>
    <x v="0"/>
  </r>
  <r>
    <x v="6"/>
    <s v="Emitida"/>
    <d v="2019-04-01T00:00:00"/>
    <d v="2019-04-01T00:00:00"/>
    <x v="94"/>
    <m/>
    <n v="7011"/>
    <x v="249"/>
    <x v="0"/>
  </r>
  <r>
    <x v="6"/>
    <s v="Emitida"/>
    <d v="2019-04-01T00:00:00"/>
    <d v="2019-04-01T00:00:00"/>
    <x v="94"/>
    <m/>
    <n v="7491"/>
    <x v="259"/>
    <x v="0"/>
  </r>
  <r>
    <x v="6"/>
    <s v="Emitida"/>
    <d v="2019-04-01T00:00:00"/>
    <d v="2019-04-01T00:00:00"/>
    <x v="94"/>
    <m/>
    <n v="7800"/>
    <x v="260"/>
    <x v="0"/>
  </r>
  <r>
    <x v="6"/>
    <s v="Emitida"/>
    <d v="2019-04-01T00:00:00"/>
    <d v="2019-04-01T00:00:00"/>
    <x v="94"/>
    <m/>
    <n v="6957"/>
    <x v="261"/>
    <x v="0"/>
  </r>
  <r>
    <x v="6"/>
    <s v="Emitida"/>
    <d v="2019-04-01T00:00:00"/>
    <d v="2019-04-01T00:00:00"/>
    <x v="94"/>
    <m/>
    <n v="6900"/>
    <x v="262"/>
    <x v="0"/>
  </r>
  <r>
    <x v="6"/>
    <s v="Emitida"/>
    <d v="2019-04-01T00:00:00"/>
    <d v="2019-04-01T00:00:00"/>
    <x v="94"/>
    <m/>
    <n v="6975"/>
    <x v="263"/>
    <x v="0"/>
  </r>
  <r>
    <x v="6"/>
    <s v="Emitida"/>
    <d v="2019-04-01T00:00:00"/>
    <d v="2019-04-01T00:00:00"/>
    <x v="94"/>
    <m/>
    <n v="7085"/>
    <x v="264"/>
    <x v="0"/>
  </r>
  <r>
    <x v="6"/>
    <s v="Emitida"/>
    <d v="2019-04-01T00:00:00"/>
    <d v="2019-04-01T00:00:00"/>
    <x v="94"/>
    <m/>
    <n v="6957"/>
    <x v="261"/>
    <x v="0"/>
  </r>
  <r>
    <x v="6"/>
    <s v="Emitida"/>
    <d v="2019-04-01T00:00:00"/>
    <d v="2019-04-01T00:00:00"/>
    <x v="94"/>
    <m/>
    <n v="6600"/>
    <x v="255"/>
    <x v="0"/>
  </r>
  <r>
    <x v="6"/>
    <s v="Emitida"/>
    <d v="2019-04-01T00:00:00"/>
    <d v="2019-04-01T00:00:00"/>
    <x v="94"/>
    <m/>
    <n v="7099"/>
    <x v="265"/>
    <x v="0"/>
  </r>
  <r>
    <x v="6"/>
    <s v="Emitida"/>
    <d v="2019-04-01T00:00:00"/>
    <d v="2019-04-01T00:00:00"/>
    <x v="94"/>
    <m/>
    <n v="6600"/>
    <x v="255"/>
    <x v="0"/>
  </r>
  <r>
    <x v="6"/>
    <s v="Emitida"/>
    <d v="2019-04-01T00:00:00"/>
    <d v="2019-04-01T00:00:00"/>
    <x v="94"/>
    <m/>
    <n v="7448"/>
    <x v="266"/>
    <x v="0"/>
  </r>
  <r>
    <x v="6"/>
    <s v="Emitida"/>
    <d v="2019-04-01T00:00:00"/>
    <d v="2019-04-01T00:00:00"/>
    <x v="94"/>
    <m/>
    <n v="6900"/>
    <x v="262"/>
    <x v="0"/>
  </r>
  <r>
    <x v="7"/>
    <s v="Cancela"/>
    <d v="2019-03-28T00:00:00"/>
    <d v="2019-03-28T00:00:00"/>
    <x v="95"/>
    <d v="2019-03-29T00:00:00"/>
    <n v="818"/>
    <x v="267"/>
    <x v="0"/>
  </r>
  <r>
    <x v="19"/>
    <s v="Emitida"/>
    <d v="2019-03-28T00:00:00"/>
    <d v="2019-03-28T00:00:00"/>
    <x v="95"/>
    <m/>
    <n v="25937.8"/>
    <x v="268"/>
    <x v="0"/>
  </r>
  <r>
    <x v="6"/>
    <s v="Emitida"/>
    <d v="2019-03-26T00:00:00"/>
    <d v="2019-03-26T00:00:00"/>
    <x v="89"/>
    <m/>
    <n v="39946"/>
    <x v="269"/>
    <x v="0"/>
  </r>
  <r>
    <x v="19"/>
    <s v="Emitida"/>
    <d v="2019-03-26T00:00:00"/>
    <d v="2019-03-26T00:00:00"/>
    <x v="96"/>
    <m/>
    <n v="1990.56"/>
    <x v="270"/>
    <x v="0"/>
  </r>
  <r>
    <x v="19"/>
    <s v="Emitida"/>
    <d v="2019-03-25T00:00:00"/>
    <d v="2019-03-25T00:00:00"/>
    <x v="97"/>
    <m/>
    <n v="3170.16"/>
    <x v="271"/>
    <x v="0"/>
  </r>
  <r>
    <x v="22"/>
    <s v="Emitida"/>
    <d v="2019-03-25T00:00:00"/>
    <d v="2019-03-22T00:00:00"/>
    <x v="97"/>
    <m/>
    <n v="5612"/>
    <x v="272"/>
    <x v="0"/>
  </r>
  <r>
    <x v="19"/>
    <s v="Emitida"/>
    <d v="2019-03-22T00:00:00"/>
    <d v="2019-03-22T00:00:00"/>
    <x v="98"/>
    <m/>
    <n v="2666.31"/>
    <x v="273"/>
    <x v="0"/>
  </r>
  <r>
    <x v="7"/>
    <s v="Emitida"/>
    <d v="2019-03-19T00:00:00"/>
    <d v="2019-03-19T00:00:00"/>
    <x v="99"/>
    <m/>
    <n v="14448"/>
    <x v="274"/>
    <x v="0"/>
  </r>
  <r>
    <x v="7"/>
    <s v="Emitida"/>
    <d v="2019-03-19T00:00:00"/>
    <d v="2019-03-19T00:00:00"/>
    <x v="99"/>
    <m/>
    <n v="28793"/>
    <x v="275"/>
    <x v="0"/>
  </r>
  <r>
    <x v="7"/>
    <s v="Emitida"/>
    <d v="2019-03-19T00:00:00"/>
    <d v="2019-03-14T00:00:00"/>
    <x v="99"/>
    <m/>
    <n v="7167"/>
    <x v="229"/>
    <x v="0"/>
  </r>
  <r>
    <x v="7"/>
    <s v="Emitida"/>
    <d v="2019-03-19T00:00:00"/>
    <d v="2019-03-14T00:00:00"/>
    <x v="99"/>
    <m/>
    <n v="22392"/>
    <x v="276"/>
    <x v="0"/>
  </r>
  <r>
    <x v="7"/>
    <s v="Emitida"/>
    <d v="2019-03-19T00:00:00"/>
    <d v="2019-03-19T00:00:00"/>
    <x v="99"/>
    <m/>
    <n v="13815"/>
    <x v="277"/>
    <x v="0"/>
  </r>
  <r>
    <x v="7"/>
    <s v="Emitida"/>
    <d v="2019-03-19T00:00:00"/>
    <d v="2019-03-19T00:00:00"/>
    <x v="99"/>
    <m/>
    <n v="6140"/>
    <x v="278"/>
    <x v="0"/>
  </r>
  <r>
    <x v="19"/>
    <s v="Emitida"/>
    <d v="2019-03-19T00:00:00"/>
    <d v="2019-03-19T00:00:00"/>
    <x v="99"/>
    <m/>
    <n v="7592.76"/>
    <x v="279"/>
    <x v="0"/>
  </r>
  <r>
    <x v="7"/>
    <s v="Emitida"/>
    <d v="2019-03-19T00:00:00"/>
    <d v="2019-03-19T00:00:00"/>
    <x v="99"/>
    <m/>
    <n v="13841"/>
    <x v="280"/>
    <x v="0"/>
  </r>
  <r>
    <x v="7"/>
    <s v="Emitida"/>
    <d v="2019-03-19T00:00:00"/>
    <d v="2019-03-19T00:00:00"/>
    <x v="99"/>
    <m/>
    <n v="27546"/>
    <x v="281"/>
    <x v="0"/>
  </r>
  <r>
    <x v="14"/>
    <s v="Emitida"/>
    <d v="2019-03-14T00:00:00"/>
    <d v="2019-03-14T00:00:00"/>
    <x v="100"/>
    <m/>
    <n v="525.23"/>
    <x v="282"/>
    <x v="0"/>
  </r>
  <r>
    <x v="9"/>
    <s v="Emitida"/>
    <d v="2019-03-14T00:00:00"/>
    <d v="2019-03-14T00:00:00"/>
    <x v="100"/>
    <m/>
    <n v="10400"/>
    <x v="283"/>
    <x v="0"/>
  </r>
  <r>
    <x v="21"/>
    <s v="Cancela"/>
    <d v="2019-03-14T00:00:00"/>
    <d v="2019-03-14T00:00:00"/>
    <x v="101"/>
    <d v="2019-03-14T00:00:00"/>
    <n v="2028"/>
    <x v="284"/>
    <x v="0"/>
  </r>
  <r>
    <x v="2"/>
    <s v="Emitida"/>
    <d v="2019-03-13T00:00:00"/>
    <d v="2019-03-13T00:00:00"/>
    <x v="95"/>
    <m/>
    <n v="3546"/>
    <x v="285"/>
    <x v="0"/>
  </r>
  <r>
    <x v="19"/>
    <s v="Emitida"/>
    <d v="2019-03-13T00:00:00"/>
    <d v="2019-03-13T00:00:00"/>
    <x v="102"/>
    <m/>
    <n v="18351.900000000001"/>
    <x v="286"/>
    <x v="0"/>
  </r>
  <r>
    <x v="19"/>
    <s v="Emitida"/>
    <d v="2019-03-12T00:00:00"/>
    <d v="2019-03-12T00:00:00"/>
    <x v="103"/>
    <m/>
    <n v="7144.32"/>
    <x v="287"/>
    <x v="0"/>
  </r>
  <r>
    <x v="8"/>
    <s v="Emitida"/>
    <d v="2019-03-11T00:00:00"/>
    <d v="2019-03-11T00:00:00"/>
    <x v="89"/>
    <m/>
    <n v="29923"/>
    <x v="288"/>
    <x v="0"/>
  </r>
  <r>
    <x v="8"/>
    <s v="Emitida"/>
    <d v="2019-03-11T00:00:00"/>
    <d v="2019-03-11T00:00:00"/>
    <x v="89"/>
    <m/>
    <n v="28391"/>
    <x v="289"/>
    <x v="0"/>
  </r>
  <r>
    <x v="8"/>
    <s v="Cancela"/>
    <d v="2019-03-11T00:00:00"/>
    <d v="2019-03-11T00:00:00"/>
    <x v="89"/>
    <d v="2019-03-11T00:00:00"/>
    <n v="26926"/>
    <x v="290"/>
    <x v="0"/>
  </r>
  <r>
    <x v="8"/>
    <s v="Emitida"/>
    <d v="2019-03-11T00:00:00"/>
    <d v="2019-03-11T00:00:00"/>
    <x v="89"/>
    <m/>
    <n v="28391"/>
    <x v="289"/>
    <x v="0"/>
  </r>
  <r>
    <x v="19"/>
    <s v="Emitida"/>
    <d v="2019-03-08T00:00:00"/>
    <d v="2019-03-08T00:00:00"/>
    <x v="104"/>
    <m/>
    <n v="10924.6"/>
    <x v="291"/>
    <x v="0"/>
  </r>
  <r>
    <x v="6"/>
    <s v="Emitida"/>
    <d v="2019-03-07T00:00:00"/>
    <d v="2019-03-07T00:00:00"/>
    <x v="98"/>
    <m/>
    <n v="19896"/>
    <x v="292"/>
    <x v="0"/>
  </r>
  <r>
    <x v="8"/>
    <s v="Emitida"/>
    <d v="2019-03-07T00:00:00"/>
    <d v="2019-03-07T00:00:00"/>
    <x v="105"/>
    <m/>
    <n v="11776"/>
    <x v="293"/>
    <x v="0"/>
  </r>
  <r>
    <x v="6"/>
    <s v="Emitida"/>
    <d v="2019-03-06T00:00:00"/>
    <d v="2019-03-06T00:00:00"/>
    <x v="106"/>
    <m/>
    <n v="16532"/>
    <x v="294"/>
    <x v="0"/>
  </r>
  <r>
    <x v="7"/>
    <s v="Emitida"/>
    <d v="2019-03-05T00:00:00"/>
    <d v="2019-03-05T00:00:00"/>
    <x v="107"/>
    <m/>
    <n v="818"/>
    <x v="267"/>
    <x v="0"/>
  </r>
  <r>
    <x v="7"/>
    <s v="Emitida"/>
    <d v="2019-03-01T00:00:00"/>
    <d v="2019-03-01T00:00:00"/>
    <x v="108"/>
    <m/>
    <n v="34561"/>
    <x v="295"/>
    <x v="0"/>
  </r>
  <r>
    <x v="7"/>
    <s v="Emitida"/>
    <d v="2019-03-01T00:00:00"/>
    <d v="2019-03-01T00:00:00"/>
    <x v="108"/>
    <m/>
    <n v="12287"/>
    <x v="296"/>
    <x v="0"/>
  </r>
  <r>
    <x v="7"/>
    <s v="Emitida"/>
    <d v="2019-03-01T00:00:00"/>
    <d v="2019-03-01T00:00:00"/>
    <x v="108"/>
    <m/>
    <n v="39392"/>
    <x v="297"/>
    <x v="0"/>
  </r>
  <r>
    <x v="7"/>
    <s v="Emitida"/>
    <d v="2019-03-01T00:00:00"/>
    <d v="2019-03-01T00:00:00"/>
    <x v="108"/>
    <m/>
    <n v="7571"/>
    <x v="298"/>
    <x v="0"/>
  </r>
  <r>
    <x v="7"/>
    <s v="Emitida"/>
    <d v="2019-03-01T00:00:00"/>
    <d v="2019-02-07T00:00:00"/>
    <x v="108"/>
    <m/>
    <n v="39698"/>
    <x v="299"/>
    <x v="0"/>
  </r>
  <r>
    <x v="7"/>
    <s v="Emitida"/>
    <d v="2019-03-01T00:00:00"/>
    <d v="2019-03-01T00:00:00"/>
    <x v="108"/>
    <m/>
    <n v="14472"/>
    <x v="300"/>
    <x v="0"/>
  </r>
  <r>
    <x v="7"/>
    <s v="Emitida"/>
    <d v="2019-03-01T00:00:00"/>
    <d v="2019-03-01T00:00:00"/>
    <x v="108"/>
    <m/>
    <n v="27522"/>
    <x v="301"/>
    <x v="0"/>
  </r>
  <r>
    <x v="7"/>
    <s v="Emitida"/>
    <d v="2019-03-01T00:00:00"/>
    <d v="2019-02-25T00:00:00"/>
    <x v="108"/>
    <m/>
    <n v="19997"/>
    <x v="302"/>
    <x v="0"/>
  </r>
  <r>
    <x v="7"/>
    <s v="Emitida"/>
    <d v="2019-03-01T00:00:00"/>
    <d v="2019-03-01T00:00:00"/>
    <x v="108"/>
    <m/>
    <n v="18273"/>
    <x v="303"/>
    <x v="0"/>
  </r>
  <r>
    <x v="7"/>
    <s v="Emitida"/>
    <d v="2019-03-01T00:00:00"/>
    <d v="2019-03-01T00:00:00"/>
    <x v="108"/>
    <m/>
    <n v="11911"/>
    <x v="304"/>
    <x v="0"/>
  </r>
  <r>
    <x v="7"/>
    <s v="Emitida"/>
    <d v="2019-03-01T00:00:00"/>
    <d v="2019-02-25T00:00:00"/>
    <x v="108"/>
    <m/>
    <n v="42440"/>
    <x v="305"/>
    <x v="0"/>
  </r>
  <r>
    <x v="2"/>
    <s v="Emitida"/>
    <d v="2019-03-01T00:00:00"/>
    <d v="2019-03-01T00:00:00"/>
    <x v="109"/>
    <m/>
    <n v="449"/>
    <x v="306"/>
    <x v="0"/>
  </r>
  <r>
    <x v="2"/>
    <s v="Emitida"/>
    <d v="2019-02-28T00:00:00"/>
    <d v="2019-02-28T00:00:00"/>
    <x v="110"/>
    <m/>
    <n v="14566"/>
    <x v="307"/>
    <x v="0"/>
  </r>
  <r>
    <x v="2"/>
    <s v="Cancela"/>
    <d v="2019-02-28T00:00:00"/>
    <d v="2019-02-28T00:00:00"/>
    <x v="110"/>
    <d v="2019-02-28T00:00:00"/>
    <n v="15622"/>
    <x v="308"/>
    <x v="0"/>
  </r>
  <r>
    <x v="14"/>
    <s v="Emitida"/>
    <d v="2019-02-27T00:00:00"/>
    <d v="2019-02-27T00:00:00"/>
    <x v="111"/>
    <m/>
    <n v="1477"/>
    <x v="225"/>
    <x v="0"/>
  </r>
  <r>
    <x v="14"/>
    <s v="Cancela"/>
    <d v="2019-02-27T00:00:00"/>
    <d v="2019-02-27T00:00:00"/>
    <x v="111"/>
    <d v="2019-02-27T00:00:00"/>
    <n v="1477"/>
    <x v="225"/>
    <x v="0"/>
  </r>
  <r>
    <x v="19"/>
    <s v="Emitida"/>
    <d v="2019-02-27T00:00:00"/>
    <d v="2019-02-27T00:00:00"/>
    <x v="101"/>
    <m/>
    <n v="43230.3"/>
    <x v="309"/>
    <x v="0"/>
  </r>
  <r>
    <x v="6"/>
    <s v="Emitida"/>
    <d v="2019-02-27T00:00:00"/>
    <d v="2019-02-27T00:00:00"/>
    <x v="112"/>
    <m/>
    <n v="1920"/>
    <x v="200"/>
    <x v="0"/>
  </r>
  <r>
    <x v="11"/>
    <s v="Emitida"/>
    <d v="2019-02-26T00:00:00"/>
    <d v="2019-02-26T00:00:00"/>
    <x v="86"/>
    <m/>
    <n v="4144"/>
    <x v="310"/>
    <x v="0"/>
  </r>
  <r>
    <x v="19"/>
    <s v="Emitida"/>
    <d v="2019-02-22T00:00:00"/>
    <d v="2019-02-22T00:00:00"/>
    <x v="113"/>
    <m/>
    <n v="3855.18"/>
    <x v="311"/>
    <x v="0"/>
  </r>
  <r>
    <x v="19"/>
    <s v="Emitida"/>
    <d v="2019-02-22T00:00:00"/>
    <d v="2019-02-22T00:00:00"/>
    <x v="113"/>
    <m/>
    <n v="1956.36"/>
    <x v="312"/>
    <x v="0"/>
  </r>
  <r>
    <x v="19"/>
    <s v="Emitida"/>
    <d v="2019-02-22T00:00:00"/>
    <d v="2019-02-22T00:00:00"/>
    <x v="113"/>
    <m/>
    <n v="2761.92"/>
    <x v="313"/>
    <x v="0"/>
  </r>
  <r>
    <x v="19"/>
    <s v="Emitida"/>
    <d v="2019-02-22T00:00:00"/>
    <d v="2019-02-22T00:00:00"/>
    <x v="113"/>
    <m/>
    <n v="3912.72"/>
    <x v="314"/>
    <x v="0"/>
  </r>
  <r>
    <x v="19"/>
    <s v="Emitida"/>
    <d v="2019-02-22T00:00:00"/>
    <d v="2019-02-22T00:00:00"/>
    <x v="113"/>
    <m/>
    <n v="1956.36"/>
    <x v="312"/>
    <x v="0"/>
  </r>
  <r>
    <x v="19"/>
    <s v="Emitida"/>
    <d v="2019-02-22T00:00:00"/>
    <d v="2019-02-22T00:00:00"/>
    <x v="113"/>
    <m/>
    <n v="8285.76"/>
    <x v="315"/>
    <x v="0"/>
  </r>
  <r>
    <x v="19"/>
    <s v="Emitida"/>
    <d v="2019-02-22T00:00:00"/>
    <d v="2019-02-22T00:00:00"/>
    <x v="113"/>
    <m/>
    <n v="13809.6"/>
    <x v="316"/>
    <x v="0"/>
  </r>
  <r>
    <x v="19"/>
    <s v="Emitida"/>
    <d v="2019-02-22T00:00:00"/>
    <d v="2019-02-22T00:00:00"/>
    <x v="113"/>
    <m/>
    <n v="8631"/>
    <x v="317"/>
    <x v="0"/>
  </r>
  <r>
    <x v="19"/>
    <s v="Emitida"/>
    <d v="2019-02-22T00:00:00"/>
    <d v="2019-02-22T00:00:00"/>
    <x v="113"/>
    <m/>
    <n v="5523.84"/>
    <x v="318"/>
    <x v="0"/>
  </r>
  <r>
    <x v="23"/>
    <s v="Emitida"/>
    <d v="2019-02-20T00:00:00"/>
    <d v="2019-02-15T00:00:00"/>
    <x v="105"/>
    <m/>
    <n v="18400"/>
    <x v="319"/>
    <x v="0"/>
  </r>
  <r>
    <x v="7"/>
    <s v="Emitida"/>
    <d v="2019-02-20T00:00:00"/>
    <d v="2019-02-19T00:00:00"/>
    <x v="114"/>
    <m/>
    <n v="13610"/>
    <x v="320"/>
    <x v="0"/>
  </r>
  <r>
    <x v="7"/>
    <s v="Emitida"/>
    <d v="2019-02-20T00:00:00"/>
    <d v="2019-02-19T00:00:00"/>
    <x v="114"/>
    <m/>
    <n v="26713"/>
    <x v="321"/>
    <x v="0"/>
  </r>
  <r>
    <x v="24"/>
    <s v="Emitida"/>
    <d v="2019-02-19T00:00:00"/>
    <d v="2019-02-19T00:00:00"/>
    <x v="115"/>
    <m/>
    <n v="7618.92"/>
    <x v="322"/>
    <x v="0"/>
  </r>
  <r>
    <x v="19"/>
    <s v="Emitida"/>
    <d v="2019-02-19T00:00:00"/>
    <d v="2019-02-19T00:00:00"/>
    <x v="111"/>
    <m/>
    <n v="2516.8000000000002"/>
    <x v="323"/>
    <x v="0"/>
  </r>
  <r>
    <x v="19"/>
    <s v="Emitida"/>
    <d v="2019-02-19T00:00:00"/>
    <d v="2019-02-19T00:00:00"/>
    <x v="111"/>
    <m/>
    <n v="27413.7"/>
    <x v="324"/>
    <x v="0"/>
  </r>
  <r>
    <x v="23"/>
    <s v="Emitida"/>
    <d v="2019-02-14T00:00:00"/>
    <d v="2019-02-14T00:00:00"/>
    <x v="116"/>
    <m/>
    <n v="12500"/>
    <x v="325"/>
    <x v="0"/>
  </r>
  <r>
    <x v="19"/>
    <s v="Emitida"/>
    <d v="2019-02-14T00:00:00"/>
    <d v="2019-02-14T00:00:00"/>
    <x v="117"/>
    <m/>
    <n v="21725.200000000001"/>
    <x v="326"/>
    <x v="0"/>
  </r>
  <r>
    <x v="19"/>
    <s v="Emitida"/>
    <d v="2019-02-14T00:00:00"/>
    <d v="2019-02-14T00:00:00"/>
    <x v="117"/>
    <m/>
    <n v="8146.98"/>
    <x v="327"/>
    <x v="0"/>
  </r>
  <r>
    <x v="19"/>
    <s v="Emitida"/>
    <d v="2019-02-14T00:00:00"/>
    <d v="2019-02-14T00:00:00"/>
    <x v="117"/>
    <m/>
    <n v="9630"/>
    <x v="328"/>
    <x v="0"/>
  </r>
  <r>
    <x v="19"/>
    <s v="Emitida"/>
    <d v="2019-02-14T00:00:00"/>
    <d v="2019-02-14T00:00:00"/>
    <x v="117"/>
    <m/>
    <n v="7626.96"/>
    <x v="329"/>
    <x v="0"/>
  </r>
  <r>
    <x v="19"/>
    <s v="Emitida"/>
    <d v="2019-02-14T00:00:00"/>
    <d v="2019-02-14T00:00:00"/>
    <x v="117"/>
    <m/>
    <n v="19991.8"/>
    <x v="330"/>
    <x v="0"/>
  </r>
  <r>
    <x v="19"/>
    <s v="Emitida"/>
    <d v="2019-02-14T00:00:00"/>
    <d v="2019-02-14T00:00:00"/>
    <x v="117"/>
    <m/>
    <n v="6663.96"/>
    <x v="331"/>
    <x v="0"/>
  </r>
  <r>
    <x v="14"/>
    <s v="Emitida"/>
    <d v="2019-02-13T00:00:00"/>
    <d v="2019-02-13T00:00:00"/>
    <x v="118"/>
    <m/>
    <n v="1166"/>
    <x v="332"/>
    <x v="0"/>
  </r>
  <r>
    <x v="14"/>
    <s v="Emitida"/>
    <d v="2019-02-12T00:00:00"/>
    <d v="2019-02-12T00:00:00"/>
    <x v="119"/>
    <m/>
    <n v="519.25"/>
    <x v="333"/>
    <x v="0"/>
  </r>
  <r>
    <x v="14"/>
    <s v="Emitida"/>
    <d v="2019-02-12T00:00:00"/>
    <d v="2019-02-12T00:00:00"/>
    <x v="119"/>
    <m/>
    <n v="6452.42"/>
    <x v="334"/>
    <x v="0"/>
  </r>
  <r>
    <x v="6"/>
    <s v="Emitida"/>
    <d v="2019-02-12T00:00:00"/>
    <d v="2019-02-12T00:00:00"/>
    <x v="101"/>
    <m/>
    <n v="4230"/>
    <x v="335"/>
    <x v="0"/>
  </r>
  <r>
    <x v="7"/>
    <s v="Emitida"/>
    <d v="2019-02-12T00:00:00"/>
    <d v="2019-02-11T00:00:00"/>
    <x v="115"/>
    <m/>
    <n v="6161"/>
    <x v="146"/>
    <x v="0"/>
  </r>
  <r>
    <x v="7"/>
    <s v="Emitida"/>
    <d v="2019-02-12T00:00:00"/>
    <d v="2019-02-11T00:00:00"/>
    <x v="115"/>
    <m/>
    <n v="21637"/>
    <x v="336"/>
    <x v="0"/>
  </r>
  <r>
    <x v="19"/>
    <s v="Emitida"/>
    <d v="2019-02-11T00:00:00"/>
    <d v="2019-02-11T00:00:00"/>
    <x v="120"/>
    <m/>
    <n v="1717.2"/>
    <x v="337"/>
    <x v="0"/>
  </r>
  <r>
    <x v="25"/>
    <s v="Emitida"/>
    <d v="2019-02-11T00:00:00"/>
    <d v="2019-02-11T00:00:00"/>
    <x v="120"/>
    <m/>
    <n v="23200"/>
    <x v="338"/>
    <x v="0"/>
  </r>
  <r>
    <x v="9"/>
    <s v="Emitida"/>
    <d v="2019-02-11T00:00:00"/>
    <d v="2019-02-11T00:00:00"/>
    <x v="121"/>
    <m/>
    <n v="45213"/>
    <x v="339"/>
    <x v="0"/>
  </r>
  <r>
    <x v="19"/>
    <s v="Emitida"/>
    <d v="2019-02-08T00:00:00"/>
    <d v="2019-02-08T00:00:00"/>
    <x v="122"/>
    <m/>
    <n v="12230.4"/>
    <x v="340"/>
    <x v="0"/>
  </r>
  <r>
    <x v="22"/>
    <s v="Cancela"/>
    <d v="2019-02-08T00:00:00"/>
    <d v="2019-02-08T00:00:00"/>
    <x v="122"/>
    <d v="2019-02-08T00:00:00"/>
    <n v="12230.4"/>
    <x v="340"/>
    <x v="0"/>
  </r>
  <r>
    <x v="8"/>
    <s v="Emitida"/>
    <d v="2019-02-05T00:00:00"/>
    <d v="2019-02-05T00:00:00"/>
    <x v="123"/>
    <m/>
    <n v="11225"/>
    <x v="341"/>
    <x v="0"/>
  </r>
  <r>
    <x v="26"/>
    <s v="Emitida"/>
    <d v="2019-02-05T00:00:00"/>
    <d v="2019-02-05T00:00:00"/>
    <x v="124"/>
    <m/>
    <n v="76728.899999999994"/>
    <x v="342"/>
    <x v="0"/>
  </r>
  <r>
    <x v="13"/>
    <s v="Emitida"/>
    <d v="2019-02-05T00:00:00"/>
    <d v="2019-02-05T00:00:00"/>
    <x v="114"/>
    <m/>
    <n v="11143.5"/>
    <x v="343"/>
    <x v="0"/>
  </r>
  <r>
    <x v="7"/>
    <s v="Emitida"/>
    <d v="2019-02-01T00:00:00"/>
    <d v="2019-01-25T00:00:00"/>
    <x v="125"/>
    <m/>
    <n v="31360"/>
    <x v="344"/>
    <x v="0"/>
  </r>
  <r>
    <x v="7"/>
    <s v="Emitida"/>
    <d v="2019-02-01T00:00:00"/>
    <d v="2019-01-24T00:00:00"/>
    <x v="125"/>
    <m/>
    <n v="37974"/>
    <x v="345"/>
    <x v="0"/>
  </r>
  <r>
    <x v="7"/>
    <s v="Emitida"/>
    <d v="2019-02-01T00:00:00"/>
    <d v="2019-02-01T00:00:00"/>
    <x v="125"/>
    <m/>
    <n v="28640"/>
    <x v="346"/>
    <x v="0"/>
  </r>
  <r>
    <x v="26"/>
    <s v="Emitida"/>
    <d v="2019-02-01T00:00:00"/>
    <d v="2019-02-01T00:00:00"/>
    <x v="126"/>
    <m/>
    <n v="9196.7999999999993"/>
    <x v="347"/>
    <x v="0"/>
  </r>
  <r>
    <x v="7"/>
    <s v="Emitida"/>
    <d v="2019-01-29T00:00:00"/>
    <d v="2019-01-22T00:00:00"/>
    <x v="124"/>
    <m/>
    <n v="30390"/>
    <x v="348"/>
    <x v="0"/>
  </r>
  <r>
    <x v="6"/>
    <s v="Emitida"/>
    <d v="2019-01-29T00:00:00"/>
    <d v="2019-01-29T00:00:00"/>
    <x v="127"/>
    <m/>
    <n v="3840"/>
    <x v="349"/>
    <x v="0"/>
  </r>
  <r>
    <x v="2"/>
    <s v="Emitida"/>
    <d v="2019-01-29T00:00:00"/>
    <d v="2019-01-29T00:00:00"/>
    <x v="127"/>
    <m/>
    <n v="2322"/>
    <x v="350"/>
    <x v="0"/>
  </r>
  <r>
    <x v="26"/>
    <s v="Emitida"/>
    <d v="2019-01-28T00:00:00"/>
    <d v="2019-01-25T00:00:00"/>
    <x v="128"/>
    <m/>
    <n v="7001.3"/>
    <x v="351"/>
    <x v="0"/>
  </r>
  <r>
    <x v="26"/>
    <s v="Emitida"/>
    <d v="2019-01-28T00:00:00"/>
    <d v="2019-01-25T00:00:00"/>
    <x v="128"/>
    <m/>
    <n v="5723.13"/>
    <x v="352"/>
    <x v="0"/>
  </r>
  <r>
    <x v="26"/>
    <s v="Emitida"/>
    <d v="2019-01-28T00:00:00"/>
    <d v="2019-01-28T00:00:00"/>
    <x v="128"/>
    <m/>
    <n v="24428.6"/>
    <x v="353"/>
    <x v="0"/>
  </r>
  <r>
    <x v="26"/>
    <s v="Emitida"/>
    <d v="2019-01-28T00:00:00"/>
    <d v="2019-01-28T00:00:00"/>
    <x v="128"/>
    <m/>
    <n v="14403.2"/>
    <x v="354"/>
    <x v="0"/>
  </r>
  <r>
    <x v="26"/>
    <s v="Emitida"/>
    <d v="2019-01-28T00:00:00"/>
    <d v="2019-01-28T00:00:00"/>
    <x v="128"/>
    <m/>
    <n v="16024.7"/>
    <x v="355"/>
    <x v="0"/>
  </r>
  <r>
    <x v="26"/>
    <s v="Emitida"/>
    <d v="2019-01-28T00:00:00"/>
    <d v="2019-01-28T00:00:00"/>
    <x v="128"/>
    <m/>
    <n v="17455.5"/>
    <x v="356"/>
    <x v="0"/>
  </r>
  <r>
    <x v="9"/>
    <s v="Emitida"/>
    <d v="2019-01-28T00:00:00"/>
    <d v="2019-01-28T00:00:00"/>
    <x v="129"/>
    <m/>
    <n v="9720"/>
    <x v="357"/>
    <x v="0"/>
  </r>
  <r>
    <x v="26"/>
    <s v="Emitida"/>
    <d v="2019-01-25T00:00:00"/>
    <d v="2019-01-25T00:00:00"/>
    <x v="130"/>
    <m/>
    <n v="7440.07"/>
    <x v="358"/>
    <x v="0"/>
  </r>
  <r>
    <x v="26"/>
    <s v="Emitida"/>
    <d v="2019-01-24T00:00:00"/>
    <d v="2019-01-24T00:00:00"/>
    <x v="131"/>
    <m/>
    <n v="7460.7"/>
    <x v="359"/>
    <x v="0"/>
  </r>
  <r>
    <x v="2"/>
    <s v="Emitida"/>
    <d v="2019-01-24T00:00:00"/>
    <d v="2019-01-24T00:00:00"/>
    <x v="122"/>
    <m/>
    <n v="1548"/>
    <x v="360"/>
    <x v="0"/>
  </r>
  <r>
    <x v="26"/>
    <s v="Emitida"/>
    <d v="2019-01-23T00:00:00"/>
    <d v="2019-01-23T00:00:00"/>
    <x v="132"/>
    <m/>
    <n v="17501.2"/>
    <x v="361"/>
    <x v="0"/>
  </r>
  <r>
    <x v="7"/>
    <s v="Emitida"/>
    <d v="2019-01-21T00:00:00"/>
    <d v="2019-01-18T00:00:00"/>
    <x v="128"/>
    <m/>
    <n v="28538"/>
    <x v="362"/>
    <x v="0"/>
  </r>
  <r>
    <x v="7"/>
    <s v="Emitida"/>
    <d v="2019-01-21T00:00:00"/>
    <d v="2019-01-17T00:00:00"/>
    <x v="128"/>
    <m/>
    <n v="48770"/>
    <x v="363"/>
    <x v="0"/>
  </r>
  <r>
    <x v="26"/>
    <s v="Emitida"/>
    <d v="2019-01-18T00:00:00"/>
    <d v="2019-01-18T00:00:00"/>
    <x v="133"/>
    <m/>
    <n v="14546.3"/>
    <x v="364"/>
    <x v="0"/>
  </r>
  <r>
    <x v="26"/>
    <s v="Emitida"/>
    <d v="2019-01-15T00:00:00"/>
    <d v="2019-01-15T00:00:00"/>
    <x v="134"/>
    <m/>
    <n v="11433.7"/>
    <x v="365"/>
    <x v="0"/>
  </r>
  <r>
    <x v="10"/>
    <s v="Emitida"/>
    <d v="2019-01-11T00:00:00"/>
    <d v="2019-01-11T00:00:00"/>
    <x v="135"/>
    <m/>
    <n v="2425.5"/>
    <x v="366"/>
    <x v="0"/>
  </r>
  <r>
    <x v="6"/>
    <s v="Emitida"/>
    <d v="2019-01-11T00:00:00"/>
    <d v="2019-01-09T00:00:00"/>
    <x v="135"/>
    <m/>
    <n v="25932"/>
    <x v="367"/>
    <x v="0"/>
  </r>
  <r>
    <x v="26"/>
    <s v="Emitida"/>
    <d v="2019-01-10T00:00:00"/>
    <d v="2019-01-10T00:00:00"/>
    <x v="136"/>
    <m/>
    <n v="6966"/>
    <x v="368"/>
    <x v="0"/>
  </r>
  <r>
    <x v="26"/>
    <s v="Emitida"/>
    <d v="2019-01-10T00:00:00"/>
    <d v="2019-01-10T00:00:00"/>
    <x v="136"/>
    <m/>
    <n v="1741.5"/>
    <x v="369"/>
    <x v="0"/>
  </r>
  <r>
    <x v="26"/>
    <s v="Emitida"/>
    <d v="2019-01-10T00:00:00"/>
    <d v="2019-01-10T00:00:00"/>
    <x v="136"/>
    <m/>
    <n v="35410.5"/>
    <x v="370"/>
    <x v="0"/>
  </r>
  <r>
    <x v="26"/>
    <s v="Cancela"/>
    <d v="2019-01-10T00:00:00"/>
    <d v="2019-01-10T00:00:00"/>
    <x v="136"/>
    <d v="2019-01-10T00:00:00"/>
    <n v="13003.2"/>
    <x v="371"/>
    <x v="0"/>
  </r>
  <r>
    <x v="8"/>
    <s v="Emitida"/>
    <d v="2019-01-10T00:00:00"/>
    <d v="2019-01-10T00:00:00"/>
    <x v="137"/>
    <m/>
    <n v="37716"/>
    <x v="372"/>
    <x v="0"/>
  </r>
  <r>
    <x v="0"/>
    <s v="Emitida"/>
    <d v="2019-01-09T00:00:00"/>
    <d v="2019-01-09T00:00:00"/>
    <x v="138"/>
    <m/>
    <n v="1950"/>
    <x v="373"/>
    <x v="0"/>
  </r>
  <r>
    <x v="27"/>
    <s v="Emitida"/>
    <d v="2019-01-08T00:00:00"/>
    <d v="2019-01-08T00:00:00"/>
    <x v="139"/>
    <m/>
    <n v="11200"/>
    <x v="374"/>
    <x v="0"/>
  </r>
  <r>
    <x v="6"/>
    <s v="Emitida"/>
    <d v="2019-01-08T00:00:00"/>
    <d v="2019-01-08T00:00:00"/>
    <x v="140"/>
    <m/>
    <n v="19896"/>
    <x v="292"/>
    <x v="0"/>
  </r>
  <r>
    <x v="9"/>
    <s v="Emitida"/>
    <d v="2019-01-07T00:00:00"/>
    <d v="2019-01-07T00:00:00"/>
    <x v="141"/>
    <m/>
    <n v="11320"/>
    <x v="375"/>
    <x v="0"/>
  </r>
  <r>
    <x v="9"/>
    <s v="Emitida"/>
    <d v="2019-01-07T00:00:00"/>
    <d v="2019-01-07T00:00:00"/>
    <x v="141"/>
    <m/>
    <n v="9150"/>
    <x v="376"/>
    <x v="0"/>
  </r>
  <r>
    <x v="6"/>
    <s v="Emitida"/>
    <d v="2019-01-07T00:00:00"/>
    <d v="2019-01-07T00:00:00"/>
    <x v="142"/>
    <m/>
    <n v="36696"/>
    <x v="377"/>
    <x v="0"/>
  </r>
  <r>
    <x v="13"/>
    <s v="Emitida"/>
    <d v="2019-01-03T00:00:00"/>
    <d v="2019-01-03T00:00:00"/>
    <x v="130"/>
    <m/>
    <n v="7532"/>
    <x v="378"/>
    <x v="0"/>
  </r>
  <r>
    <x v="25"/>
    <s v="Emitida"/>
    <d v="2019-01-02T00:00:00"/>
    <d v="2019-01-02T00:00:00"/>
    <x v="143"/>
    <m/>
    <n v="23200"/>
    <x v="338"/>
    <x v="0"/>
  </r>
  <r>
    <x v="26"/>
    <s v="Emitida"/>
    <d v="2018-12-19T00:00:00"/>
    <d v="2018-12-19T00:00:00"/>
    <x v="144"/>
    <m/>
    <n v="4042.11"/>
    <x v="379"/>
    <x v="0"/>
  </r>
  <r>
    <x v="26"/>
    <s v="Emitida"/>
    <d v="2018-12-19T00:00:00"/>
    <d v="2018-12-19T00:00:00"/>
    <x v="144"/>
    <m/>
    <n v="3619.8"/>
    <x v="380"/>
    <x v="0"/>
  </r>
  <r>
    <x v="26"/>
    <s v="Emitida"/>
    <d v="2018-12-19T00:00:00"/>
    <d v="2018-12-19T00:00:00"/>
    <x v="144"/>
    <m/>
    <n v="24614.6"/>
    <x v="381"/>
    <x v="0"/>
  </r>
  <r>
    <x v="26"/>
    <s v="Emitida"/>
    <d v="2018-12-19T00:00:00"/>
    <d v="2018-12-19T00:00:00"/>
    <x v="144"/>
    <m/>
    <n v="17354.900000000001"/>
    <x v="382"/>
    <x v="0"/>
  </r>
  <r>
    <x v="26"/>
    <s v="Emitida"/>
    <d v="2018-12-19T00:00:00"/>
    <d v="2018-12-19T00:00:00"/>
    <x v="144"/>
    <m/>
    <n v="28113.7"/>
    <x v="383"/>
    <x v="0"/>
  </r>
  <r>
    <x v="26"/>
    <s v="Emitida"/>
    <d v="2018-12-19T00:00:00"/>
    <d v="2018-12-19T00:00:00"/>
    <x v="144"/>
    <m/>
    <n v="20431.7"/>
    <x v="384"/>
    <x v="0"/>
  </r>
  <r>
    <x v="13"/>
    <s v="Emitida"/>
    <d v="2018-12-19T00:00:00"/>
    <d v="2018-12-19T00:00:00"/>
    <x v="136"/>
    <m/>
    <n v="22833.4"/>
    <x v="385"/>
    <x v="0"/>
  </r>
  <r>
    <x v="9"/>
    <s v="Cancela"/>
    <d v="2018-12-18T00:00:00"/>
    <d v="2018-12-18T00:00:00"/>
    <x v="145"/>
    <d v="2018-12-19T00:00:00"/>
    <n v="9150"/>
    <x v="376"/>
    <x v="0"/>
  </r>
  <r>
    <x v="26"/>
    <s v="Emitida"/>
    <d v="2018-12-17T00:00:00"/>
    <d v="2018-12-14T00:00:00"/>
    <x v="145"/>
    <m/>
    <n v="13857.8"/>
    <x v="386"/>
    <x v="0"/>
  </r>
  <r>
    <x v="26"/>
    <s v="Cancela"/>
    <d v="2018-12-17T00:00:00"/>
    <d v="2018-12-14T00:00:00"/>
    <x v="145"/>
    <d v="2018-12-17T00:00:00"/>
    <n v="6168.16"/>
    <x v="387"/>
    <x v="0"/>
  </r>
  <r>
    <x v="26"/>
    <s v="Emitida"/>
    <d v="2018-12-14T00:00:00"/>
    <d v="2018-12-14T00:00:00"/>
    <x v="146"/>
    <m/>
    <n v="28162.5"/>
    <x v="388"/>
    <x v="0"/>
  </r>
  <r>
    <x v="26"/>
    <s v="Emitida"/>
    <d v="2018-12-14T00:00:00"/>
    <d v="2018-12-14T00:00:00"/>
    <x v="146"/>
    <m/>
    <n v="34817.599999999999"/>
    <x v="389"/>
    <x v="0"/>
  </r>
  <r>
    <x v="8"/>
    <s v="Emitida"/>
    <d v="2018-12-13T00:00:00"/>
    <d v="2018-12-13T00:00:00"/>
    <x v="147"/>
    <m/>
    <n v="29067"/>
    <x v="390"/>
    <x v="0"/>
  </r>
  <r>
    <x v="9"/>
    <s v="Emitida"/>
    <d v="2018-12-13T00:00:00"/>
    <d v="2018-12-13T00:00:00"/>
    <x v="148"/>
    <m/>
    <n v="10240"/>
    <x v="391"/>
    <x v="0"/>
  </r>
  <r>
    <x v="9"/>
    <s v="Emitida"/>
    <d v="2018-12-13T00:00:00"/>
    <d v="2018-12-13T00:00:00"/>
    <x v="148"/>
    <m/>
    <n v="12518"/>
    <x v="392"/>
    <x v="0"/>
  </r>
  <r>
    <x v="23"/>
    <s v="Emitida"/>
    <d v="2018-12-13T00:00:00"/>
    <d v="2018-12-13T00:00:00"/>
    <x v="149"/>
    <m/>
    <n v="456090"/>
    <x v="393"/>
    <x v="0"/>
  </r>
  <r>
    <x v="26"/>
    <s v="Emitida"/>
    <d v="2018-12-13T00:00:00"/>
    <d v="2018-12-13T00:00:00"/>
    <x v="150"/>
    <m/>
    <n v="7818.24"/>
    <x v="394"/>
    <x v="0"/>
  </r>
  <r>
    <x v="8"/>
    <s v="Emitida"/>
    <d v="2018-12-11T00:00:00"/>
    <d v="2018-12-11T00:00:00"/>
    <x v="151"/>
    <m/>
    <n v="3660"/>
    <x v="395"/>
    <x v="0"/>
  </r>
  <r>
    <x v="6"/>
    <s v="Emitida"/>
    <d v="2018-12-11T00:00:00"/>
    <d v="2018-12-11T00:00:00"/>
    <x v="152"/>
    <m/>
    <n v="17424"/>
    <x v="396"/>
    <x v="0"/>
  </r>
  <r>
    <x v="26"/>
    <s v="Emitida"/>
    <d v="2018-12-07T00:00:00"/>
    <d v="2018-12-07T00:00:00"/>
    <x v="153"/>
    <m/>
    <n v="3805.45"/>
    <x v="397"/>
    <x v="0"/>
  </r>
  <r>
    <x v="7"/>
    <s v="Emitida"/>
    <d v="2018-12-06T00:00:00"/>
    <d v="2018-12-06T00:00:00"/>
    <x v="150"/>
    <m/>
    <n v="800"/>
    <x v="34"/>
    <x v="0"/>
  </r>
  <r>
    <x v="26"/>
    <s v="Emitida"/>
    <d v="2018-12-06T00:00:00"/>
    <d v="2018-12-06T00:00:00"/>
    <x v="154"/>
    <m/>
    <n v="23094.2"/>
    <x v="398"/>
    <x v="0"/>
  </r>
  <r>
    <x v="7"/>
    <s v="Cancela"/>
    <d v="2018-12-06T00:00:00"/>
    <d v="2018-12-06T00:00:00"/>
    <x v="150"/>
    <d v="2018-12-06T00:00:00"/>
    <n v="880"/>
    <x v="31"/>
    <x v="0"/>
  </r>
  <r>
    <x v="26"/>
    <s v="Cancela"/>
    <d v="2018-12-06T00:00:00"/>
    <d v="2018-12-06T00:00:00"/>
    <x v="154"/>
    <d v="2018-12-06T00:00:00"/>
    <n v="3358.18"/>
    <x v="399"/>
    <x v="0"/>
  </r>
  <r>
    <x v="26"/>
    <s v="Emitida"/>
    <d v="2018-12-05T00:00:00"/>
    <d v="2018-12-05T00:00:00"/>
    <x v="155"/>
    <m/>
    <n v="35463.1"/>
    <x v="400"/>
    <x v="0"/>
  </r>
  <r>
    <x v="26"/>
    <s v="Emitida"/>
    <d v="2018-12-05T00:00:00"/>
    <d v="2018-12-05T00:00:00"/>
    <x v="155"/>
    <m/>
    <n v="15759.1"/>
    <x v="401"/>
    <x v="0"/>
  </r>
  <r>
    <x v="6"/>
    <s v="Emitida"/>
    <d v="2018-12-04T00:00:00"/>
    <d v="2018-12-04T00:00:00"/>
    <x v="156"/>
    <m/>
    <n v="644"/>
    <x v="402"/>
    <x v="0"/>
  </r>
  <r>
    <x v="7"/>
    <s v="Emitida"/>
    <d v="2018-12-04T00:00:00"/>
    <d v="2018-12-04T00:00:00"/>
    <x v="157"/>
    <m/>
    <n v="1636"/>
    <x v="120"/>
    <x v="0"/>
  </r>
  <r>
    <x v="6"/>
    <s v="Emitida"/>
    <d v="2018-12-04T00:00:00"/>
    <d v="2018-12-04T00:00:00"/>
    <x v="156"/>
    <m/>
    <n v="8100"/>
    <x v="403"/>
    <x v="0"/>
  </r>
  <r>
    <x v="6"/>
    <s v="Emitida"/>
    <d v="2018-12-03T00:00:00"/>
    <d v="2018-12-03T00:00:00"/>
    <x v="158"/>
    <m/>
    <n v="29876"/>
    <x v="404"/>
    <x v="0"/>
  </r>
  <r>
    <x v="6"/>
    <s v="Emitida"/>
    <d v="2018-12-03T00:00:00"/>
    <d v="2018-12-03T00:00:00"/>
    <x v="158"/>
    <m/>
    <n v="16532"/>
    <x v="294"/>
    <x v="0"/>
  </r>
  <r>
    <x v="8"/>
    <s v="Emitida"/>
    <d v="2018-12-03T00:00:00"/>
    <d v="2018-12-03T00:00:00"/>
    <x v="143"/>
    <m/>
    <n v="21540"/>
    <x v="405"/>
    <x v="0"/>
  </r>
  <r>
    <x v="26"/>
    <s v="Emitida"/>
    <d v="2018-11-30T00:00:00"/>
    <d v="2018-11-30T00:00:00"/>
    <x v="159"/>
    <m/>
    <n v="27451.4"/>
    <x v="406"/>
    <x v="0"/>
  </r>
  <r>
    <x v="7"/>
    <s v="Emitida"/>
    <d v="2018-11-30T00:00:00"/>
    <d v="2018-11-30T00:00:00"/>
    <x v="153"/>
    <m/>
    <n v="7512"/>
    <x v="407"/>
    <x v="0"/>
  </r>
  <r>
    <x v="26"/>
    <s v="Emitida"/>
    <d v="2018-11-29T00:00:00"/>
    <d v="2018-11-29T00:00:00"/>
    <x v="160"/>
    <m/>
    <n v="5830.52"/>
    <x v="408"/>
    <x v="0"/>
  </r>
  <r>
    <x v="13"/>
    <s v="Emitida"/>
    <d v="2018-11-29T00:00:00"/>
    <d v="2018-11-29T00:00:00"/>
    <x v="161"/>
    <m/>
    <n v="15990"/>
    <x v="409"/>
    <x v="0"/>
  </r>
  <r>
    <x v="9"/>
    <s v="Devuelta"/>
    <d v="2018-11-28T00:00:00"/>
    <d v="2018-11-28T00:00:00"/>
    <x v="162"/>
    <m/>
    <n v="10240"/>
    <x v="391"/>
    <x v="0"/>
  </r>
  <r>
    <x v="6"/>
    <s v="Emitida"/>
    <d v="2018-11-27T00:00:00"/>
    <d v="2018-11-27T00:00:00"/>
    <x v="144"/>
    <m/>
    <n v="13630"/>
    <x v="410"/>
    <x v="0"/>
  </r>
  <r>
    <x v="7"/>
    <s v="Emitida"/>
    <d v="2018-11-27T00:00:00"/>
    <d v="2018-11-27T00:00:00"/>
    <x v="163"/>
    <m/>
    <n v="29480"/>
    <x v="106"/>
    <x v="0"/>
  </r>
  <r>
    <x v="7"/>
    <s v="Emitida"/>
    <d v="2018-11-27T00:00:00"/>
    <d v="2018-11-27T00:00:00"/>
    <x v="163"/>
    <m/>
    <n v="29480"/>
    <x v="106"/>
    <x v="0"/>
  </r>
  <r>
    <x v="7"/>
    <s v="Emitida"/>
    <d v="2018-11-27T00:00:00"/>
    <d v="2018-11-27T00:00:00"/>
    <x v="163"/>
    <m/>
    <n v="34848"/>
    <x v="33"/>
    <x v="0"/>
  </r>
  <r>
    <x v="26"/>
    <s v="Emitida"/>
    <d v="2018-11-27T00:00:00"/>
    <d v="2018-11-27T00:00:00"/>
    <x v="162"/>
    <m/>
    <n v="5505.3"/>
    <x v="411"/>
    <x v="0"/>
  </r>
  <r>
    <x v="9"/>
    <s v="Cancela"/>
    <d v="2018-11-26T00:00:00"/>
    <d v="2018-11-26T00:00:00"/>
    <x v="164"/>
    <d v="2018-11-28T00:00:00"/>
    <n v="11220"/>
    <x v="412"/>
    <x v="0"/>
  </r>
  <r>
    <x v="8"/>
    <s v="Emitida"/>
    <d v="2018-11-26T00:00:00"/>
    <d v="2018-11-26T00:00:00"/>
    <x v="152"/>
    <m/>
    <n v="15060"/>
    <x v="413"/>
    <x v="0"/>
  </r>
  <r>
    <x v="9"/>
    <s v="Devuelta"/>
    <d v="2018-11-26T00:00:00"/>
    <d v="2018-11-26T00:00:00"/>
    <x v="164"/>
    <m/>
    <n v="12518"/>
    <x v="392"/>
    <x v="0"/>
  </r>
  <r>
    <x v="6"/>
    <s v="Emitida"/>
    <d v="2018-11-26T00:00:00"/>
    <d v="2018-11-26T00:00:00"/>
    <x v="165"/>
    <m/>
    <n v="5600"/>
    <x v="414"/>
    <x v="0"/>
  </r>
  <r>
    <x v="6"/>
    <s v="Emitida"/>
    <d v="2018-11-23T00:00:00"/>
    <d v="2018-11-23T00:00:00"/>
    <x v="166"/>
    <m/>
    <n v="7092"/>
    <x v="415"/>
    <x v="0"/>
  </r>
  <r>
    <x v="6"/>
    <s v="Cancela"/>
    <d v="2018-11-22T00:00:00"/>
    <d v="2018-11-22T00:00:00"/>
    <x v="146"/>
    <d v="2018-11-23T00:00:00"/>
    <n v="6748"/>
    <x v="416"/>
    <x v="0"/>
  </r>
  <r>
    <x v="6"/>
    <s v="Emitida"/>
    <d v="2018-11-21T00:00:00"/>
    <d v="2018-11-21T00:00:00"/>
    <x v="150"/>
    <m/>
    <n v="7518"/>
    <x v="417"/>
    <x v="0"/>
  </r>
  <r>
    <x v="6"/>
    <s v="Emitida"/>
    <d v="2018-11-20T00:00:00"/>
    <d v="2018-11-20T00:00:00"/>
    <x v="148"/>
    <m/>
    <n v="8266"/>
    <x v="236"/>
    <x v="0"/>
  </r>
  <r>
    <x v="10"/>
    <s v="Emitida"/>
    <d v="2018-11-15T00:00:00"/>
    <d v="2018-11-15T00:00:00"/>
    <x v="153"/>
    <m/>
    <n v="125377"/>
    <x v="418"/>
    <x v="0"/>
  </r>
  <r>
    <x v="10"/>
    <s v="Emitida"/>
    <d v="2018-11-15T00:00:00"/>
    <d v="2018-11-15T00:00:00"/>
    <x v="153"/>
    <m/>
    <n v="3705"/>
    <x v="419"/>
    <x v="0"/>
  </r>
  <r>
    <x v="26"/>
    <s v="Emitida"/>
    <d v="2018-11-14T00:00:00"/>
    <d v="2018-11-14T00:00:00"/>
    <x v="167"/>
    <m/>
    <n v="4185.92"/>
    <x v="420"/>
    <x v="0"/>
  </r>
  <r>
    <x v="26"/>
    <s v="Emitida"/>
    <d v="2018-11-14T00:00:00"/>
    <d v="2018-11-14T00:00:00"/>
    <x v="167"/>
    <m/>
    <n v="10403.799999999999"/>
    <x v="421"/>
    <x v="0"/>
  </r>
  <r>
    <x v="26"/>
    <s v="Emitida"/>
    <d v="2018-11-14T00:00:00"/>
    <d v="2018-11-14T00:00:00"/>
    <x v="167"/>
    <m/>
    <n v="21396.9"/>
    <x v="422"/>
    <x v="0"/>
  </r>
  <r>
    <x v="26"/>
    <s v="Emitida"/>
    <d v="2018-11-14T00:00:00"/>
    <d v="2018-11-14T00:00:00"/>
    <x v="167"/>
    <m/>
    <n v="17312.599999999999"/>
    <x v="423"/>
    <x v="0"/>
  </r>
  <r>
    <x v="26"/>
    <s v="Emitida"/>
    <d v="2018-11-14T00:00:00"/>
    <d v="2018-11-14T00:00:00"/>
    <x v="167"/>
    <m/>
    <n v="29260.799999999999"/>
    <x v="424"/>
    <x v="0"/>
  </r>
  <r>
    <x v="26"/>
    <s v="Emitida"/>
    <d v="2018-11-14T00:00:00"/>
    <d v="2018-11-14T00:00:00"/>
    <x v="167"/>
    <m/>
    <n v="3718.56"/>
    <x v="425"/>
    <x v="0"/>
  </r>
  <r>
    <x v="26"/>
    <s v="Emitida"/>
    <d v="2018-11-14T00:00:00"/>
    <d v="2018-11-14T00:00:00"/>
    <x v="167"/>
    <m/>
    <n v="6827.52"/>
    <x v="426"/>
    <x v="0"/>
  </r>
  <r>
    <x v="26"/>
    <s v="Emitida"/>
    <d v="2018-11-14T00:00:00"/>
    <d v="2018-11-14T00:00:00"/>
    <x v="167"/>
    <m/>
    <n v="2783.84"/>
    <x v="427"/>
    <x v="0"/>
  </r>
  <r>
    <x v="26"/>
    <s v="Emitida"/>
    <d v="2018-11-14T00:00:00"/>
    <d v="2018-11-14T00:00:00"/>
    <x v="167"/>
    <m/>
    <n v="5445.76"/>
    <x v="428"/>
    <x v="0"/>
  </r>
  <r>
    <x v="26"/>
    <s v="Emitida"/>
    <d v="2018-11-14T00:00:00"/>
    <d v="2018-11-14T00:00:00"/>
    <x v="167"/>
    <m/>
    <n v="1463.04"/>
    <x v="429"/>
    <x v="0"/>
  </r>
  <r>
    <x v="26"/>
    <s v="Emitida"/>
    <d v="2018-11-13T00:00:00"/>
    <d v="2018-11-13T00:00:00"/>
    <x v="168"/>
    <m/>
    <n v="4642.08"/>
    <x v="430"/>
    <x v="0"/>
  </r>
  <r>
    <x v="6"/>
    <s v="Cancela"/>
    <d v="2018-11-08T00:00:00"/>
    <d v="2018-11-08T00:00:00"/>
    <x v="159"/>
    <d v="2018-12-07T00:00:00"/>
    <n v="480"/>
    <x v="431"/>
    <x v="0"/>
  </r>
  <r>
    <x v="6"/>
    <s v="Cancela"/>
    <d v="2018-11-07T00:00:00"/>
    <d v="2018-11-07T00:00:00"/>
    <x v="160"/>
    <d v="2018-11-08T00:00:00"/>
    <n v="520"/>
    <x v="432"/>
    <x v="0"/>
  </r>
  <r>
    <x v="6"/>
    <s v="Emitida"/>
    <d v="2018-11-06T00:00:00"/>
    <d v="2018-11-06T00:00:00"/>
    <x v="169"/>
    <m/>
    <n v="2576"/>
    <x v="433"/>
    <x v="0"/>
  </r>
  <r>
    <x v="26"/>
    <s v="Emitida"/>
    <d v="2018-11-01T00:00:00"/>
    <d v="2018-11-01T00:00:00"/>
    <x v="170"/>
    <m/>
    <n v="38738"/>
    <x v="434"/>
    <x v="0"/>
  </r>
  <r>
    <x v="26"/>
    <s v="Cancela"/>
    <d v="2018-11-01T00:00:00"/>
    <d v="2018-11-01T00:00:00"/>
    <x v="170"/>
    <d v="2018-11-01T00:00:00"/>
    <n v="59188.6"/>
    <x v="435"/>
    <x v="0"/>
  </r>
  <r>
    <x v="9"/>
    <s v="Emitida"/>
    <d v="2018-10-31T00:00:00"/>
    <d v="2018-10-31T00:00:00"/>
    <x v="171"/>
    <m/>
    <n v="440"/>
    <x v="436"/>
    <x v="0"/>
  </r>
  <r>
    <x v="26"/>
    <s v="Emitida"/>
    <d v="2018-10-31T00:00:00"/>
    <d v="2018-10-31T00:00:00"/>
    <x v="172"/>
    <m/>
    <n v="13899.6"/>
    <x v="437"/>
    <x v="0"/>
  </r>
  <r>
    <x v="26"/>
    <s v="Emitida"/>
    <d v="2018-10-31T00:00:00"/>
    <d v="2018-10-31T00:00:00"/>
    <x v="172"/>
    <m/>
    <n v="28512"/>
    <x v="438"/>
    <x v="0"/>
  </r>
  <r>
    <x v="7"/>
    <s v="Emitida"/>
    <d v="2018-10-26T00:00:00"/>
    <d v="2018-10-26T00:00:00"/>
    <x v="173"/>
    <m/>
    <n v="45516"/>
    <x v="439"/>
    <x v="0"/>
  </r>
  <r>
    <x v="6"/>
    <s v="Emitida"/>
    <d v="2018-10-25T00:00:00"/>
    <d v="2018-10-25T00:00:00"/>
    <x v="174"/>
    <m/>
    <n v="45496"/>
    <x v="440"/>
    <x v="0"/>
  </r>
  <r>
    <x v="6"/>
    <s v="Emitida"/>
    <d v="2018-10-25T00:00:00"/>
    <d v="2018-10-25T00:00:00"/>
    <x v="174"/>
    <m/>
    <n v="22284"/>
    <x v="441"/>
    <x v="0"/>
  </r>
  <r>
    <x v="9"/>
    <s v="Emitida"/>
    <d v="2018-10-25T00:00:00"/>
    <d v="2018-10-25T00:00:00"/>
    <x v="175"/>
    <m/>
    <n v="1250"/>
    <x v="442"/>
    <x v="0"/>
  </r>
  <r>
    <x v="9"/>
    <s v="Emitida"/>
    <d v="2018-10-25T00:00:00"/>
    <d v="2018-10-25T00:00:00"/>
    <x v="175"/>
    <m/>
    <n v="11640"/>
    <x v="443"/>
    <x v="0"/>
  </r>
  <r>
    <x v="26"/>
    <s v="Emitida"/>
    <d v="2018-10-25T00:00:00"/>
    <d v="2018-10-25T00:00:00"/>
    <x v="176"/>
    <m/>
    <n v="71116"/>
    <x v="444"/>
    <x v="0"/>
  </r>
  <r>
    <x v="8"/>
    <s v="Emitida"/>
    <d v="2018-10-24T00:00:00"/>
    <d v="2018-10-24T00:00:00"/>
    <x v="159"/>
    <m/>
    <n v="47502"/>
    <x v="445"/>
    <x v="0"/>
  </r>
  <r>
    <x v="7"/>
    <s v="Emitida"/>
    <d v="2018-10-23T00:00:00"/>
    <d v="2018-10-23T00:00:00"/>
    <x v="171"/>
    <m/>
    <n v="2800"/>
    <x v="446"/>
    <x v="0"/>
  </r>
  <r>
    <x v="6"/>
    <s v="Emitida"/>
    <d v="2018-10-22T00:00:00"/>
    <d v="2018-10-22T00:00:00"/>
    <x v="168"/>
    <m/>
    <n v="5686"/>
    <x v="447"/>
    <x v="0"/>
  </r>
  <r>
    <x v="6"/>
    <s v="Emitida"/>
    <d v="2018-10-22T00:00:00"/>
    <d v="2018-10-22T00:00:00"/>
    <x v="168"/>
    <m/>
    <n v="3672"/>
    <x v="448"/>
    <x v="0"/>
  </r>
  <r>
    <x v="7"/>
    <s v="Emitida"/>
    <d v="2018-10-18T00:00:00"/>
    <d v="2018-10-18T00:00:00"/>
    <x v="176"/>
    <m/>
    <n v="4528"/>
    <x v="449"/>
    <x v="0"/>
  </r>
  <r>
    <x v="26"/>
    <s v="Emitida"/>
    <d v="2018-10-18T00:00:00"/>
    <d v="2018-10-18T00:00:00"/>
    <x v="177"/>
    <m/>
    <n v="14865.8"/>
    <x v="450"/>
    <x v="0"/>
  </r>
  <r>
    <x v="26"/>
    <s v="Emitida"/>
    <d v="2018-10-17T00:00:00"/>
    <d v="2018-10-17T00:00:00"/>
    <x v="178"/>
    <m/>
    <n v="76669.5"/>
    <x v="451"/>
    <x v="0"/>
  </r>
  <r>
    <x v="6"/>
    <s v="Emitida"/>
    <d v="2018-10-16T00:00:00"/>
    <d v="2018-10-16T00:00:00"/>
    <x v="179"/>
    <m/>
    <n v="1386"/>
    <x v="452"/>
    <x v="0"/>
  </r>
  <r>
    <x v="0"/>
    <s v="Emitida"/>
    <d v="2018-10-16T00:00:00"/>
    <d v="2018-10-16T00:00:00"/>
    <x v="180"/>
    <m/>
    <n v="4360"/>
    <x v="453"/>
    <x v="0"/>
  </r>
  <r>
    <x v="0"/>
    <s v="Cancela"/>
    <d v="2018-10-16T00:00:00"/>
    <d v="2018-10-16T00:00:00"/>
    <x v="180"/>
    <d v="2018-10-16T00:00:00"/>
    <n v="4360"/>
    <x v="453"/>
    <x v="2"/>
  </r>
  <r>
    <x v="28"/>
    <s v="Emitida"/>
    <d v="2018-10-16T00:00:00"/>
    <d v="2018-10-16T00:00:00"/>
    <x v="181"/>
    <m/>
    <n v="910"/>
    <x v="454"/>
    <x v="0"/>
  </r>
  <r>
    <x v="6"/>
    <s v="Emitida"/>
    <d v="2018-10-16T00:00:00"/>
    <d v="2018-10-16T00:00:00"/>
    <x v="179"/>
    <m/>
    <n v="16700"/>
    <x v="455"/>
    <x v="0"/>
  </r>
  <r>
    <x v="9"/>
    <s v="Emitida"/>
    <d v="2018-10-16T00:00:00"/>
    <d v="2018-10-16T00:00:00"/>
    <x v="180"/>
    <m/>
    <n v="6384"/>
    <x v="456"/>
    <x v="0"/>
  </r>
  <r>
    <x v="26"/>
    <s v="Emitida"/>
    <d v="2018-10-12T00:00:00"/>
    <d v="2018-10-12T00:00:00"/>
    <x v="182"/>
    <m/>
    <n v="36901.599999999999"/>
    <x v="457"/>
    <x v="0"/>
  </r>
  <r>
    <x v="29"/>
    <s v="Emitida"/>
    <d v="2018-10-12T00:00:00"/>
    <d v="2018-10-12T00:00:00"/>
    <x v="183"/>
    <m/>
    <n v="1204.56"/>
    <x v="458"/>
    <x v="0"/>
  </r>
  <r>
    <x v="13"/>
    <s v="Emitida"/>
    <d v="2018-10-11T00:00:00"/>
    <d v="2018-10-11T00:00:00"/>
    <x v="173"/>
    <m/>
    <n v="13472"/>
    <x v="459"/>
    <x v="0"/>
  </r>
  <r>
    <x v="13"/>
    <s v="Cancela"/>
    <d v="2018-10-11T00:00:00"/>
    <d v="2018-10-11T00:00:00"/>
    <x v="173"/>
    <d v="2018-10-11T00:00:00"/>
    <n v="12856"/>
    <x v="460"/>
    <x v="2"/>
  </r>
  <r>
    <x v="5"/>
    <s v="Emitida"/>
    <d v="2018-10-09T00:00:00"/>
    <d v="2018-10-09T00:00:00"/>
    <x v="184"/>
    <m/>
    <n v="25202"/>
    <x v="461"/>
    <x v="0"/>
  </r>
  <r>
    <x v="9"/>
    <s v="Emitida"/>
    <d v="2018-10-08T00:00:00"/>
    <d v="2018-10-08T00:00:00"/>
    <x v="185"/>
    <m/>
    <n v="4892"/>
    <x v="462"/>
    <x v="0"/>
  </r>
  <r>
    <x v="8"/>
    <s v="Emitida"/>
    <d v="2018-10-08T00:00:00"/>
    <d v="2018-10-08T00:00:00"/>
    <x v="167"/>
    <m/>
    <n v="28339"/>
    <x v="463"/>
    <x v="0"/>
  </r>
  <r>
    <x v="9"/>
    <s v="Emitida"/>
    <d v="2018-10-08T00:00:00"/>
    <d v="2018-10-08T00:00:00"/>
    <x v="185"/>
    <m/>
    <n v="10218"/>
    <x v="464"/>
    <x v="0"/>
  </r>
  <r>
    <x v="9"/>
    <s v="Emitida"/>
    <d v="2018-10-05T00:00:00"/>
    <d v="2018-10-05T00:00:00"/>
    <x v="186"/>
    <m/>
    <n v="2610"/>
    <x v="465"/>
    <x v="0"/>
  </r>
  <r>
    <x v="5"/>
    <s v="Emitida"/>
    <d v="2018-10-05T00:00:00"/>
    <d v="2018-10-05T00:00:00"/>
    <x v="187"/>
    <m/>
    <n v="25202"/>
    <x v="461"/>
    <x v="0"/>
  </r>
  <r>
    <x v="5"/>
    <s v="Emitida"/>
    <d v="2018-10-05T00:00:00"/>
    <d v="2018-10-05T00:00:00"/>
    <x v="187"/>
    <m/>
    <n v="25202"/>
    <x v="461"/>
    <x v="0"/>
  </r>
  <r>
    <x v="30"/>
    <s v="Emitida"/>
    <d v="2018-10-03T00:00:00"/>
    <d v="2018-10-03T00:00:00"/>
    <x v="188"/>
    <m/>
    <n v="44626"/>
    <x v="466"/>
    <x v="0"/>
  </r>
  <r>
    <x v="5"/>
    <s v="Emitida"/>
    <d v="2018-10-02T00:00:00"/>
    <d v="2018-10-02T00:00:00"/>
    <x v="189"/>
    <m/>
    <n v="25202"/>
    <x v="461"/>
    <x v="0"/>
  </r>
  <r>
    <x v="1"/>
    <s v="Emitida"/>
    <d v="2018-09-28T00:00:00"/>
    <d v="2018-09-28T00:00:00"/>
    <x v="190"/>
    <m/>
    <n v="102078"/>
    <x v="467"/>
    <x v="0"/>
  </r>
  <r>
    <x v="5"/>
    <s v="Emitida"/>
    <d v="2018-09-28T00:00:00"/>
    <d v="2018-09-28T00:00:00"/>
    <x v="191"/>
    <m/>
    <n v="25202"/>
    <x v="461"/>
    <x v="0"/>
  </r>
  <r>
    <x v="5"/>
    <s v="Cancela"/>
    <d v="2018-09-27T00:00:00"/>
    <d v="2018-09-27T00:00:00"/>
    <x v="192"/>
    <d v="2018-09-28T00:00:00"/>
    <n v="25202"/>
    <x v="461"/>
    <x v="2"/>
  </r>
  <r>
    <x v="31"/>
    <s v="Emitida"/>
    <d v="2018-09-27T00:00:00"/>
    <d v="2018-09-27T00:00:00"/>
    <x v="193"/>
    <m/>
    <n v="1329.3"/>
    <x v="468"/>
    <x v="0"/>
  </r>
  <r>
    <x v="26"/>
    <s v="Emitida"/>
    <d v="2018-09-27T00:00:00"/>
    <d v="2018-09-27T00:00:00"/>
    <x v="194"/>
    <m/>
    <n v="21173.8"/>
    <x v="469"/>
    <x v="0"/>
  </r>
  <r>
    <x v="26"/>
    <s v="Emitida"/>
    <d v="2018-09-27T00:00:00"/>
    <d v="2018-09-27T00:00:00"/>
    <x v="194"/>
    <m/>
    <n v="4044.87"/>
    <x v="470"/>
    <x v="0"/>
  </r>
  <r>
    <x v="26"/>
    <s v="Emitida"/>
    <d v="2018-09-27T00:00:00"/>
    <d v="2018-09-27T00:00:00"/>
    <x v="194"/>
    <m/>
    <n v="7520.04"/>
    <x v="471"/>
    <x v="0"/>
  </r>
  <r>
    <x v="6"/>
    <s v="Emitida"/>
    <d v="2018-09-26T00:00:00"/>
    <d v="2018-09-26T00:00:00"/>
    <x v="177"/>
    <m/>
    <n v="14124"/>
    <x v="79"/>
    <x v="0"/>
  </r>
  <r>
    <x v="7"/>
    <s v="Emitida"/>
    <d v="2018-09-26T00:00:00"/>
    <d v="2018-09-26T00:00:00"/>
    <x v="195"/>
    <m/>
    <n v="6792"/>
    <x v="472"/>
    <x v="0"/>
  </r>
  <r>
    <x v="6"/>
    <s v="Emitida"/>
    <d v="2018-09-26T00:00:00"/>
    <d v="2018-09-26T00:00:00"/>
    <x v="177"/>
    <m/>
    <n v="4050"/>
    <x v="473"/>
    <x v="0"/>
  </r>
  <r>
    <x v="6"/>
    <s v="Emitida"/>
    <d v="2018-09-25T00:00:00"/>
    <d v="2018-09-25T00:00:00"/>
    <x v="178"/>
    <m/>
    <n v="26528"/>
    <x v="474"/>
    <x v="0"/>
  </r>
  <r>
    <x v="7"/>
    <s v="Emitida"/>
    <d v="2018-09-25T00:00:00"/>
    <d v="2018-09-25T00:00:00"/>
    <x v="196"/>
    <m/>
    <n v="29480"/>
    <x v="106"/>
    <x v="0"/>
  </r>
  <r>
    <x v="7"/>
    <s v="Emitida"/>
    <d v="2018-09-25T00:00:00"/>
    <d v="2018-09-25T00:00:00"/>
    <x v="196"/>
    <m/>
    <n v="29480"/>
    <x v="106"/>
    <x v="0"/>
  </r>
  <r>
    <x v="12"/>
    <s v="Emitida"/>
    <d v="2018-09-21T00:00:00"/>
    <d v="2018-09-21T00:00:00"/>
    <x v="197"/>
    <m/>
    <n v="4160"/>
    <x v="475"/>
    <x v="0"/>
  </r>
  <r>
    <x v="0"/>
    <s v="Emitida"/>
    <d v="2018-09-21T00:00:00"/>
    <d v="2018-09-21T00:00:00"/>
    <x v="198"/>
    <m/>
    <n v="26346"/>
    <x v="476"/>
    <x v="0"/>
  </r>
  <r>
    <x v="26"/>
    <s v="Emitida"/>
    <d v="2018-09-20T00:00:00"/>
    <d v="2018-09-20T00:00:00"/>
    <x v="198"/>
    <m/>
    <n v="13739.6"/>
    <x v="477"/>
    <x v="0"/>
  </r>
  <r>
    <x v="26"/>
    <s v="Emitida"/>
    <d v="2018-09-20T00:00:00"/>
    <d v="2018-09-20T00:00:00"/>
    <x v="198"/>
    <m/>
    <n v="24100.6"/>
    <x v="478"/>
    <x v="0"/>
  </r>
  <r>
    <x v="26"/>
    <s v="Emitida"/>
    <d v="2018-09-19T00:00:00"/>
    <d v="2018-09-19T00:00:00"/>
    <x v="199"/>
    <m/>
    <n v="13414"/>
    <x v="479"/>
    <x v="0"/>
  </r>
  <r>
    <x v="6"/>
    <s v="Emitida"/>
    <d v="2018-09-18T00:00:00"/>
    <d v="2018-09-18T00:00:00"/>
    <x v="181"/>
    <m/>
    <n v="8266"/>
    <x v="236"/>
    <x v="0"/>
  </r>
  <r>
    <x v="26"/>
    <s v="Emitida"/>
    <d v="2018-09-18T00:00:00"/>
    <d v="2018-09-18T00:00:00"/>
    <x v="200"/>
    <m/>
    <n v="10001.1"/>
    <x v="480"/>
    <x v="0"/>
  </r>
  <r>
    <x v="26"/>
    <s v="Emitida"/>
    <d v="2018-09-18T00:00:00"/>
    <d v="2018-09-18T00:00:00"/>
    <x v="200"/>
    <m/>
    <n v="82197.7"/>
    <x v="481"/>
    <x v="0"/>
  </r>
  <r>
    <x v="8"/>
    <s v="Emitida"/>
    <d v="2018-09-18T00:00:00"/>
    <d v="2018-09-18T00:00:00"/>
    <x v="176"/>
    <m/>
    <n v="35527"/>
    <x v="482"/>
    <x v="0"/>
  </r>
  <r>
    <x v="26"/>
    <s v="Emitida"/>
    <d v="2018-09-14T00:00:00"/>
    <d v="2018-09-14T00:00:00"/>
    <x v="201"/>
    <m/>
    <n v="17430.7"/>
    <x v="483"/>
    <x v="0"/>
  </r>
  <r>
    <x v="26"/>
    <s v="Emitida"/>
    <d v="2018-09-14T00:00:00"/>
    <d v="2018-09-14T00:00:00"/>
    <x v="201"/>
    <m/>
    <n v="3771.9"/>
    <x v="484"/>
    <x v="0"/>
  </r>
  <r>
    <x v="22"/>
    <s v="Emitida"/>
    <d v="2018-09-13T00:00:00"/>
    <d v="2018-09-13T00:00:00"/>
    <x v="198"/>
    <m/>
    <n v="2800"/>
    <x v="446"/>
    <x v="0"/>
  </r>
  <r>
    <x v="0"/>
    <s v="Emitida"/>
    <d v="2018-09-12T00:00:00"/>
    <d v="2018-09-12T00:00:00"/>
    <x v="202"/>
    <m/>
    <n v="25230"/>
    <x v="485"/>
    <x v="0"/>
  </r>
  <r>
    <x v="26"/>
    <s v="Emitida"/>
    <d v="2018-09-11T00:00:00"/>
    <d v="2018-09-11T00:00:00"/>
    <x v="202"/>
    <m/>
    <n v="3347.76"/>
    <x v="486"/>
    <x v="0"/>
  </r>
  <r>
    <x v="26"/>
    <s v="Emitida"/>
    <d v="2018-09-11T00:00:00"/>
    <d v="2018-09-11T00:00:00"/>
    <x v="202"/>
    <m/>
    <n v="2193.36"/>
    <x v="487"/>
    <x v="0"/>
  </r>
  <r>
    <x v="24"/>
    <s v="Emitida"/>
    <d v="2018-09-10T00:00:00"/>
    <d v="2018-09-10T00:00:00"/>
    <x v="203"/>
    <m/>
    <n v="13078.7"/>
    <x v="488"/>
    <x v="0"/>
  </r>
  <r>
    <x v="13"/>
    <s v="Emitida"/>
    <d v="2018-09-07T00:00:00"/>
    <d v="2018-09-07T00:00:00"/>
    <x v="204"/>
    <m/>
    <n v="12904"/>
    <x v="489"/>
    <x v="0"/>
  </r>
  <r>
    <x v="6"/>
    <s v="Emitida"/>
    <d v="2018-09-06T00:00:00"/>
    <d v="2018-09-06T00:00:00"/>
    <x v="205"/>
    <m/>
    <n v="11528"/>
    <x v="490"/>
    <x v="0"/>
  </r>
  <r>
    <x v="26"/>
    <s v="Emitida"/>
    <d v="2018-09-05T00:00:00"/>
    <d v="2018-09-05T00:00:00"/>
    <x v="206"/>
    <m/>
    <n v="13869.6"/>
    <x v="491"/>
    <x v="0"/>
  </r>
  <r>
    <x v="9"/>
    <s v="Emitida"/>
    <d v="2018-09-03T00:00:00"/>
    <d v="2018-09-03T00:00:00"/>
    <x v="207"/>
    <m/>
    <n v="42203"/>
    <x v="492"/>
    <x v="0"/>
  </r>
  <r>
    <x v="0"/>
    <s v="Emitida"/>
    <d v="2018-09-03T00:00:00"/>
    <d v="2018-08-30T00:00:00"/>
    <x v="207"/>
    <m/>
    <n v="7636"/>
    <x v="493"/>
    <x v="0"/>
  </r>
  <r>
    <x v="26"/>
    <s v="Emitida"/>
    <d v="2018-09-03T00:00:00"/>
    <d v="2018-09-03T00:00:00"/>
    <x v="208"/>
    <m/>
    <n v="9354.57"/>
    <x v="494"/>
    <x v="0"/>
  </r>
  <r>
    <x v="9"/>
    <s v="Emitida"/>
    <d v="2018-09-03T00:00:00"/>
    <d v="2018-09-03T00:00:00"/>
    <x v="207"/>
    <m/>
    <n v="14846"/>
    <x v="495"/>
    <x v="0"/>
  </r>
  <r>
    <x v="9"/>
    <s v="Emitida"/>
    <d v="2018-08-31T00:00:00"/>
    <d v="2018-08-31T00:00:00"/>
    <x v="209"/>
    <m/>
    <n v="131040"/>
    <x v="496"/>
    <x v="0"/>
  </r>
  <r>
    <x v="9"/>
    <s v="Emitida"/>
    <d v="2018-08-31T00:00:00"/>
    <d v="2018-08-31T00:00:00"/>
    <x v="209"/>
    <m/>
    <n v="131040"/>
    <x v="496"/>
    <x v="0"/>
  </r>
  <r>
    <x v="9"/>
    <s v="Emitida"/>
    <d v="2018-08-31T00:00:00"/>
    <d v="2018-08-31T00:00:00"/>
    <x v="209"/>
    <m/>
    <n v="131040"/>
    <x v="496"/>
    <x v="0"/>
  </r>
  <r>
    <x v="9"/>
    <s v="Cancela"/>
    <d v="2018-08-31T00:00:00"/>
    <d v="2018-08-31T00:00:00"/>
    <x v="209"/>
    <d v="2018-08-31T00:00:00"/>
    <n v="131040"/>
    <x v="496"/>
    <x v="3"/>
  </r>
  <r>
    <x v="9"/>
    <s v="Emitida"/>
    <d v="2018-08-31T00:00:00"/>
    <d v="2018-08-31T00:00:00"/>
    <x v="209"/>
    <m/>
    <n v="131040"/>
    <x v="496"/>
    <x v="0"/>
  </r>
  <r>
    <x v="9"/>
    <s v="Emitida"/>
    <d v="2018-08-31T00:00:00"/>
    <d v="2018-08-31T00:00:00"/>
    <x v="209"/>
    <m/>
    <n v="122940"/>
    <x v="497"/>
    <x v="0"/>
  </r>
  <r>
    <x v="9"/>
    <s v="Emitida"/>
    <d v="2018-08-31T00:00:00"/>
    <d v="2018-08-31T00:00:00"/>
    <x v="209"/>
    <m/>
    <n v="122940"/>
    <x v="497"/>
    <x v="0"/>
  </r>
  <r>
    <x v="9"/>
    <s v="Emitida"/>
    <d v="2018-08-31T00:00:00"/>
    <d v="2018-08-31T00:00:00"/>
    <x v="209"/>
    <m/>
    <n v="122940"/>
    <x v="497"/>
    <x v="0"/>
  </r>
  <r>
    <x v="6"/>
    <s v="Emitida"/>
    <d v="2018-08-31T00:00:00"/>
    <d v="2018-08-31T00:00:00"/>
    <x v="210"/>
    <m/>
    <n v="12490"/>
    <x v="498"/>
    <x v="0"/>
  </r>
  <r>
    <x v="9"/>
    <s v="Emitida"/>
    <d v="2018-08-29T00:00:00"/>
    <d v="2018-08-29T00:00:00"/>
    <x v="211"/>
    <m/>
    <n v="122940"/>
    <x v="497"/>
    <x v="0"/>
  </r>
  <r>
    <x v="9"/>
    <s v="Emitida"/>
    <d v="2018-08-29T00:00:00"/>
    <d v="2018-08-29T00:00:00"/>
    <x v="211"/>
    <m/>
    <n v="117936"/>
    <x v="499"/>
    <x v="0"/>
  </r>
  <r>
    <x v="9"/>
    <s v="Emitida"/>
    <d v="2018-08-29T00:00:00"/>
    <d v="2018-08-29T00:00:00"/>
    <x v="211"/>
    <m/>
    <n v="110646"/>
    <x v="500"/>
    <x v="0"/>
  </r>
  <r>
    <x v="26"/>
    <s v="Emitida"/>
    <d v="2018-08-29T00:00:00"/>
    <d v="2018-08-29T00:00:00"/>
    <x v="212"/>
    <m/>
    <n v="25552.3"/>
    <x v="501"/>
    <x v="0"/>
  </r>
  <r>
    <x v="26"/>
    <s v="Emitida"/>
    <d v="2018-08-28T00:00:00"/>
    <d v="2018-08-28T00:00:00"/>
    <x v="211"/>
    <m/>
    <n v="18980.599999999999"/>
    <x v="502"/>
    <x v="0"/>
  </r>
  <r>
    <x v="6"/>
    <s v="Emitida"/>
    <d v="2018-08-27T00:00:00"/>
    <d v="2018-08-27T00:00:00"/>
    <x v="200"/>
    <m/>
    <n v="29480"/>
    <x v="106"/>
    <x v="0"/>
  </r>
  <r>
    <x v="26"/>
    <s v="Emitida"/>
    <d v="2018-08-27T00:00:00"/>
    <d v="2018-08-27T00:00:00"/>
    <x v="213"/>
    <m/>
    <n v="8831.16"/>
    <x v="503"/>
    <x v="0"/>
  </r>
  <r>
    <x v="6"/>
    <s v="Emitida"/>
    <d v="2018-08-27T00:00:00"/>
    <d v="2018-08-27T00:00:00"/>
    <x v="200"/>
    <m/>
    <n v="29480"/>
    <x v="106"/>
    <x v="0"/>
  </r>
  <r>
    <x v="26"/>
    <s v="Emitida"/>
    <d v="2018-08-27T00:00:00"/>
    <d v="2018-08-27T00:00:00"/>
    <x v="213"/>
    <m/>
    <n v="6698.85"/>
    <x v="504"/>
    <x v="0"/>
  </r>
  <r>
    <x v="26"/>
    <s v="Emitida"/>
    <d v="2018-08-27T00:00:00"/>
    <d v="2018-08-27T00:00:00"/>
    <x v="213"/>
    <m/>
    <n v="6623.37"/>
    <x v="505"/>
    <x v="0"/>
  </r>
  <r>
    <x v="26"/>
    <s v="Emitida"/>
    <d v="2018-08-27T00:00:00"/>
    <d v="2018-08-27T00:00:00"/>
    <x v="213"/>
    <m/>
    <n v="13812.8"/>
    <x v="506"/>
    <x v="0"/>
  </r>
  <r>
    <x v="26"/>
    <s v="Emitida"/>
    <d v="2018-08-24T00:00:00"/>
    <d v="2018-08-24T00:00:00"/>
    <x v="214"/>
    <m/>
    <n v="6605.82"/>
    <x v="507"/>
    <x v="0"/>
  </r>
  <r>
    <x v="22"/>
    <s v="Emitida"/>
    <d v="2018-08-24T00:00:00"/>
    <d v="2018-08-24T00:00:00"/>
    <x v="215"/>
    <m/>
    <n v="800"/>
    <x v="34"/>
    <x v="0"/>
  </r>
  <r>
    <x v="2"/>
    <s v="Emitida"/>
    <d v="2018-08-23T00:00:00"/>
    <d v="2018-08-23T00:00:00"/>
    <x v="201"/>
    <m/>
    <n v="221180"/>
    <x v="508"/>
    <x v="0"/>
  </r>
  <r>
    <x v="26"/>
    <s v="Emitida"/>
    <d v="2018-08-23T00:00:00"/>
    <d v="2018-08-23T00:00:00"/>
    <x v="216"/>
    <m/>
    <n v="6343.68"/>
    <x v="509"/>
    <x v="0"/>
  </r>
  <r>
    <x v="8"/>
    <s v="Emitida"/>
    <d v="2018-08-21T00:00:00"/>
    <d v="2018-08-21T00:00:00"/>
    <x v="194"/>
    <m/>
    <n v="25908"/>
    <x v="510"/>
    <x v="0"/>
  </r>
  <r>
    <x v="13"/>
    <s v="Emitida"/>
    <d v="2018-08-21T00:00:00"/>
    <d v="2018-08-21T00:00:00"/>
    <x v="217"/>
    <m/>
    <n v="10500"/>
    <x v="511"/>
    <x v="0"/>
  </r>
  <r>
    <x v="26"/>
    <s v="Emitida"/>
    <d v="2018-08-21T00:00:00"/>
    <d v="2018-08-21T00:00:00"/>
    <x v="218"/>
    <m/>
    <n v="15909"/>
    <x v="512"/>
    <x v="0"/>
  </r>
  <r>
    <x v="9"/>
    <s v="Emitida"/>
    <d v="2018-08-20T00:00:00"/>
    <d v="2018-08-20T00:00:00"/>
    <x v="219"/>
    <m/>
    <n v="17094"/>
    <x v="513"/>
    <x v="0"/>
  </r>
  <r>
    <x v="11"/>
    <s v="Emitida"/>
    <d v="2018-08-17T00:00:00"/>
    <d v="2018-08-17T00:00:00"/>
    <x v="220"/>
    <m/>
    <n v="2925"/>
    <x v="514"/>
    <x v="0"/>
  </r>
  <r>
    <x v="22"/>
    <s v="Emitida"/>
    <d v="2018-08-16T00:00:00"/>
    <d v="2018-07-16T00:00:00"/>
    <x v="216"/>
    <m/>
    <n v="3168"/>
    <x v="515"/>
    <x v="0"/>
  </r>
  <r>
    <x v="32"/>
    <s v="Emitida"/>
    <d v="2018-08-16T00:00:00"/>
    <d v="2018-08-16T00:00:00"/>
    <x v="221"/>
    <m/>
    <n v="1750"/>
    <x v="516"/>
    <x v="0"/>
  </r>
  <r>
    <x v="26"/>
    <s v="Emitida"/>
    <d v="2018-08-16T00:00:00"/>
    <d v="2018-08-16T00:00:00"/>
    <x v="222"/>
    <m/>
    <n v="18791"/>
    <x v="517"/>
    <x v="0"/>
  </r>
  <r>
    <x v="13"/>
    <s v="Emitida"/>
    <d v="2018-08-16T00:00:00"/>
    <d v="2018-08-16T00:00:00"/>
    <x v="223"/>
    <m/>
    <n v="784"/>
    <x v="518"/>
    <x v="0"/>
  </r>
  <r>
    <x v="33"/>
    <s v="Emitida"/>
    <d v="2018-08-15T00:00:00"/>
    <d v="2018-08-15T00:00:00"/>
    <x v="224"/>
    <m/>
    <n v="8267"/>
    <x v="519"/>
    <x v="0"/>
  </r>
  <r>
    <x v="8"/>
    <s v="Emitida"/>
    <d v="2018-08-15T00:00:00"/>
    <d v="2018-08-15T00:00:00"/>
    <x v="225"/>
    <m/>
    <n v="43154"/>
    <x v="520"/>
    <x v="0"/>
  </r>
  <r>
    <x v="6"/>
    <s v="Emitida"/>
    <d v="2018-08-14T00:00:00"/>
    <d v="2018-08-14T00:00:00"/>
    <x v="206"/>
    <m/>
    <n v="6116"/>
    <x v="101"/>
    <x v="0"/>
  </r>
  <r>
    <x v="6"/>
    <s v="Emitida"/>
    <d v="2018-08-14T00:00:00"/>
    <d v="2018-08-14T00:00:00"/>
    <x v="206"/>
    <m/>
    <n v="15840"/>
    <x v="521"/>
    <x v="0"/>
  </r>
  <r>
    <x v="10"/>
    <s v="Emitida"/>
    <d v="2018-08-14T00:00:00"/>
    <d v="2018-08-14T00:00:00"/>
    <x v="206"/>
    <m/>
    <n v="3550"/>
    <x v="522"/>
    <x v="0"/>
  </r>
  <r>
    <x v="10"/>
    <s v="Emitida"/>
    <d v="2018-08-14T00:00:00"/>
    <d v="2018-08-14T00:00:00"/>
    <x v="206"/>
    <m/>
    <n v="116547"/>
    <x v="523"/>
    <x v="0"/>
  </r>
  <r>
    <x v="26"/>
    <s v="Emitida"/>
    <d v="2018-08-14T00:00:00"/>
    <d v="2018-08-14T00:00:00"/>
    <x v="224"/>
    <m/>
    <n v="6924.72"/>
    <x v="524"/>
    <x v="0"/>
  </r>
  <r>
    <x v="10"/>
    <s v="Emitida"/>
    <d v="2018-08-09T00:00:00"/>
    <d v="2018-08-09T00:00:00"/>
    <x v="215"/>
    <m/>
    <n v="341140"/>
    <x v="525"/>
    <x v="0"/>
  </r>
  <r>
    <x v="9"/>
    <s v="Emitida"/>
    <d v="2018-08-09T00:00:00"/>
    <d v="2018-08-09T00:00:00"/>
    <x v="226"/>
    <m/>
    <n v="2392"/>
    <x v="526"/>
    <x v="0"/>
  </r>
  <r>
    <x v="10"/>
    <s v="Emitida"/>
    <d v="2018-08-09T00:00:00"/>
    <d v="2018-08-09T00:00:00"/>
    <x v="215"/>
    <m/>
    <n v="10390"/>
    <x v="527"/>
    <x v="0"/>
  </r>
  <r>
    <x v="26"/>
    <s v="Emitida"/>
    <d v="2018-08-09T00:00:00"/>
    <d v="2018-08-09T00:00:00"/>
    <x v="227"/>
    <m/>
    <n v="5418.38"/>
    <x v="528"/>
    <x v="0"/>
  </r>
  <r>
    <x v="13"/>
    <s v="Emitida"/>
    <d v="2018-08-09T00:00:00"/>
    <d v="2018-08-09T00:00:00"/>
    <x v="215"/>
    <m/>
    <n v="11850"/>
    <x v="529"/>
    <x v="0"/>
  </r>
  <r>
    <x v="6"/>
    <s v="Emitida"/>
    <d v="2018-08-09T00:00:00"/>
    <d v="2018-08-09T00:00:00"/>
    <x v="215"/>
    <m/>
    <n v="29480"/>
    <x v="106"/>
    <x v="0"/>
  </r>
  <r>
    <x v="9"/>
    <s v="Emitida"/>
    <d v="2018-08-07T00:00:00"/>
    <d v="2018-08-07T00:00:00"/>
    <x v="228"/>
    <m/>
    <n v="12814"/>
    <x v="530"/>
    <x v="0"/>
  </r>
  <r>
    <x v="26"/>
    <s v="Emitida"/>
    <d v="2018-08-03T00:00:00"/>
    <d v="2018-08-03T00:00:00"/>
    <x v="229"/>
    <m/>
    <n v="7944.9"/>
    <x v="531"/>
    <x v="0"/>
  </r>
  <r>
    <x v="26"/>
    <s v="Emitida"/>
    <d v="2018-08-02T00:00:00"/>
    <d v="2018-08-02T00:00:00"/>
    <x v="230"/>
    <m/>
    <n v="22147.200000000001"/>
    <x v="532"/>
    <x v="0"/>
  </r>
  <r>
    <x v="1"/>
    <s v="Emitida"/>
    <d v="2018-07-31T00:00:00"/>
    <d v="2018-07-31T00:00:00"/>
    <x v="231"/>
    <m/>
    <n v="100466"/>
    <x v="533"/>
    <x v="0"/>
  </r>
  <r>
    <x v="9"/>
    <s v="Emitida"/>
    <d v="2018-07-31T00:00:00"/>
    <d v="2018-07-31T00:00:00"/>
    <x v="232"/>
    <m/>
    <n v="13104"/>
    <x v="534"/>
    <x v="0"/>
  </r>
  <r>
    <x v="7"/>
    <s v="Emitida"/>
    <d v="2018-07-31T00:00:00"/>
    <d v="2018-07-31T00:00:00"/>
    <x v="233"/>
    <m/>
    <n v="16736"/>
    <x v="535"/>
    <x v="0"/>
  </r>
  <r>
    <x v="26"/>
    <s v="Emitida"/>
    <d v="2018-07-30T00:00:00"/>
    <d v="2018-07-30T00:00:00"/>
    <x v="232"/>
    <m/>
    <n v="4012.98"/>
    <x v="536"/>
    <x v="0"/>
  </r>
  <r>
    <x v="26"/>
    <s v="Emitida"/>
    <d v="2018-07-30T00:00:00"/>
    <d v="2018-07-30T00:00:00"/>
    <x v="232"/>
    <m/>
    <n v="3351.6"/>
    <x v="537"/>
    <x v="0"/>
  </r>
  <r>
    <x v="26"/>
    <s v="Emitida"/>
    <d v="2018-07-27T00:00:00"/>
    <d v="2018-07-27T00:00:00"/>
    <x v="234"/>
    <m/>
    <n v="8550.11"/>
    <x v="538"/>
    <x v="0"/>
  </r>
  <r>
    <x v="31"/>
    <s v="Emitida"/>
    <d v="2018-07-27T00:00:00"/>
    <d v="2018-07-27T00:00:00"/>
    <x v="235"/>
    <m/>
    <n v="1126.2"/>
    <x v="539"/>
    <x v="0"/>
  </r>
  <r>
    <x v="9"/>
    <s v="Cancela"/>
    <d v="2018-07-26T00:00:00"/>
    <d v="2018-07-26T00:00:00"/>
    <x v="236"/>
    <d v="2018-07-31T00:00:00"/>
    <n v="12814"/>
    <x v="530"/>
    <x v="3"/>
  </r>
  <r>
    <x v="9"/>
    <s v="Emitida"/>
    <d v="2018-07-26T00:00:00"/>
    <d v="2018-07-26T00:00:00"/>
    <x v="236"/>
    <m/>
    <n v="14846"/>
    <x v="495"/>
    <x v="0"/>
  </r>
  <r>
    <x v="7"/>
    <s v="Emitida"/>
    <d v="2018-07-26T00:00:00"/>
    <d v="2018-07-26T00:00:00"/>
    <x v="230"/>
    <m/>
    <n v="14740"/>
    <x v="135"/>
    <x v="0"/>
  </r>
  <r>
    <x v="26"/>
    <s v="Emitida"/>
    <d v="2018-07-26T00:00:00"/>
    <d v="2018-07-26T00:00:00"/>
    <x v="235"/>
    <m/>
    <n v="5768.1"/>
    <x v="540"/>
    <x v="0"/>
  </r>
  <r>
    <x v="26"/>
    <s v="Emitida"/>
    <d v="2018-07-26T00:00:00"/>
    <d v="2018-07-26T00:00:00"/>
    <x v="235"/>
    <m/>
    <n v="5768.1"/>
    <x v="540"/>
    <x v="0"/>
  </r>
  <r>
    <x v="7"/>
    <s v="Emitida"/>
    <d v="2018-07-26T00:00:00"/>
    <d v="2018-07-26T00:00:00"/>
    <x v="230"/>
    <m/>
    <n v="29480"/>
    <x v="106"/>
    <x v="0"/>
  </r>
  <r>
    <x v="6"/>
    <s v="Emitida"/>
    <d v="2018-07-26T00:00:00"/>
    <d v="2018-07-26T00:00:00"/>
    <x v="237"/>
    <m/>
    <n v="18348"/>
    <x v="541"/>
    <x v="0"/>
  </r>
  <r>
    <x v="26"/>
    <s v="Emitida"/>
    <d v="2018-07-26T00:00:00"/>
    <d v="2018-07-26T00:00:00"/>
    <x v="235"/>
    <m/>
    <n v="6786"/>
    <x v="542"/>
    <x v="0"/>
  </r>
  <r>
    <x v="7"/>
    <s v="Emitida"/>
    <d v="2018-07-25T00:00:00"/>
    <d v="2018-07-25T00:00:00"/>
    <x v="238"/>
    <m/>
    <n v="25000"/>
    <x v="543"/>
    <x v="0"/>
  </r>
  <r>
    <x v="7"/>
    <s v="Emitida"/>
    <d v="2018-07-25T00:00:00"/>
    <d v="2018-07-25T00:00:00"/>
    <x v="238"/>
    <m/>
    <n v="26000"/>
    <x v="544"/>
    <x v="0"/>
  </r>
  <r>
    <x v="9"/>
    <s v="Emitida"/>
    <d v="2018-07-25T00:00:00"/>
    <d v="2018-07-25T00:00:00"/>
    <x v="239"/>
    <m/>
    <n v="14682"/>
    <x v="545"/>
    <x v="0"/>
  </r>
  <r>
    <x v="9"/>
    <s v="Emitida"/>
    <d v="2018-07-25T00:00:00"/>
    <d v="2018-07-25T00:00:00"/>
    <x v="239"/>
    <m/>
    <n v="14682"/>
    <x v="545"/>
    <x v="0"/>
  </r>
  <r>
    <x v="13"/>
    <s v="Emitida"/>
    <d v="2018-07-25T00:00:00"/>
    <d v="2018-07-25T00:00:00"/>
    <x v="222"/>
    <m/>
    <n v="6680"/>
    <x v="546"/>
    <x v="0"/>
  </r>
  <r>
    <x v="22"/>
    <s v="Emitida"/>
    <d v="2018-07-23T00:00:00"/>
    <d v="2018-07-23T00:00:00"/>
    <x v="232"/>
    <m/>
    <n v="3168"/>
    <x v="515"/>
    <x v="0"/>
  </r>
  <r>
    <x v="9"/>
    <s v="Cancela"/>
    <d v="2018-07-23T00:00:00"/>
    <d v="2018-07-23T00:00:00"/>
    <x v="240"/>
    <d v="2018-07-25T00:00:00"/>
    <n v="14682"/>
    <x v="545"/>
    <x v="3"/>
  </r>
  <r>
    <x v="9"/>
    <s v="Cancela"/>
    <d v="2018-07-23T00:00:00"/>
    <d v="2018-07-23T00:00:00"/>
    <x v="240"/>
    <d v="2018-07-25T00:00:00"/>
    <n v="14682"/>
    <x v="545"/>
    <x v="3"/>
  </r>
  <r>
    <x v="9"/>
    <s v="Cancela"/>
    <d v="2018-07-23T00:00:00"/>
    <d v="2018-07-23T00:00:00"/>
    <x v="240"/>
    <d v="2018-07-23T00:00:00"/>
    <n v="14682"/>
    <x v="545"/>
    <x v="3"/>
  </r>
  <r>
    <x v="26"/>
    <s v="Emitida"/>
    <d v="2018-07-20T00:00:00"/>
    <d v="2018-07-20T00:00:00"/>
    <x v="241"/>
    <m/>
    <n v="8509.5"/>
    <x v="547"/>
    <x v="0"/>
  </r>
  <r>
    <x v="26"/>
    <s v="Emitida"/>
    <d v="2018-07-20T00:00:00"/>
    <d v="2018-07-20T00:00:00"/>
    <x v="241"/>
    <m/>
    <n v="10438.299999999999"/>
    <x v="548"/>
    <x v="0"/>
  </r>
  <r>
    <x v="7"/>
    <s v="Emitida"/>
    <d v="2018-07-19T00:00:00"/>
    <d v="2018-07-19T00:00:00"/>
    <x v="235"/>
    <m/>
    <n v="350"/>
    <x v="549"/>
    <x v="0"/>
  </r>
  <r>
    <x v="6"/>
    <s v="Emitida"/>
    <d v="2018-07-17T00:00:00"/>
    <d v="2018-07-17T00:00:00"/>
    <x v="226"/>
    <m/>
    <n v="6351"/>
    <x v="550"/>
    <x v="0"/>
  </r>
  <r>
    <x v="6"/>
    <s v="Cancela"/>
    <d v="2018-07-17T00:00:00"/>
    <d v="2018-07-17T00:00:00"/>
    <x v="226"/>
    <d v="2018-07-17T00:00:00"/>
    <n v="14538"/>
    <x v="551"/>
    <x v="2"/>
  </r>
  <r>
    <x v="26"/>
    <s v="Emitida"/>
    <d v="2018-07-16T00:00:00"/>
    <d v="2018-07-16T00:00:00"/>
    <x v="242"/>
    <m/>
    <n v="24466"/>
    <x v="552"/>
    <x v="0"/>
  </r>
  <r>
    <x v="26"/>
    <s v="Emitida"/>
    <d v="2018-07-16T00:00:00"/>
    <d v="2018-07-16T00:00:00"/>
    <x v="242"/>
    <m/>
    <n v="7122.43"/>
    <x v="553"/>
    <x v="0"/>
  </r>
  <r>
    <x v="26"/>
    <s v="Emitida"/>
    <d v="2018-07-16T00:00:00"/>
    <d v="2018-07-16T00:00:00"/>
    <x v="242"/>
    <m/>
    <n v="9801.4599999999991"/>
    <x v="554"/>
    <x v="0"/>
  </r>
  <r>
    <x v="26"/>
    <s v="Emitida"/>
    <d v="2018-07-11T00:00:00"/>
    <d v="2018-07-11T00:00:00"/>
    <x v="243"/>
    <m/>
    <n v="31859.4"/>
    <x v="555"/>
    <x v="0"/>
  </r>
  <r>
    <x v="26"/>
    <s v="Emitida"/>
    <d v="2018-07-11T00:00:00"/>
    <d v="2018-07-11T00:00:00"/>
    <x v="243"/>
    <m/>
    <n v="11529.3"/>
    <x v="556"/>
    <x v="0"/>
  </r>
  <r>
    <x v="8"/>
    <s v="Emitida"/>
    <d v="2018-07-10T00:00:00"/>
    <d v="2018-07-10T00:00:00"/>
    <x v="222"/>
    <m/>
    <n v="38904.300000000003"/>
    <x v="557"/>
    <x v="0"/>
  </r>
  <r>
    <x v="2"/>
    <s v="Emitida"/>
    <d v="2018-07-06T00:00:00"/>
    <d v="2018-07-06T00:00:00"/>
    <x v="244"/>
    <m/>
    <n v="44154"/>
    <x v="558"/>
    <x v="0"/>
  </r>
  <r>
    <x v="2"/>
    <s v="Emitida"/>
    <d v="2018-07-06T00:00:00"/>
    <d v="2018-07-06T00:00:00"/>
    <x v="244"/>
    <m/>
    <n v="210121"/>
    <x v="559"/>
    <x v="0"/>
  </r>
  <r>
    <x v="2"/>
    <s v="Cancela"/>
    <d v="2018-07-06T00:00:00"/>
    <d v="2018-07-05T00:00:00"/>
    <x v="244"/>
    <d v="2018-07-06T00:00:00"/>
    <n v="210121"/>
    <x v="559"/>
    <x v="2"/>
  </r>
  <r>
    <x v="26"/>
    <s v="Emitida"/>
    <d v="2018-07-05T00:00:00"/>
    <d v="2018-07-05T00:00:00"/>
    <x v="245"/>
    <m/>
    <n v="50921.2"/>
    <x v="560"/>
    <x v="0"/>
  </r>
  <r>
    <x v="2"/>
    <s v="Emitida"/>
    <d v="2018-07-05T00:00:00"/>
    <d v="2018-07-05T00:00:00"/>
    <x v="234"/>
    <m/>
    <n v="800"/>
    <x v="34"/>
    <x v="0"/>
  </r>
  <r>
    <x v="15"/>
    <s v="Emitida"/>
    <d v="2018-07-05T00:00:00"/>
    <d v="2018-07-05T00:00:00"/>
    <x v="246"/>
    <m/>
    <n v="4153.08"/>
    <x v="561"/>
    <x v="0"/>
  </r>
  <r>
    <x v="26"/>
    <s v="Emitida"/>
    <d v="2018-07-05T00:00:00"/>
    <d v="2018-07-05T00:00:00"/>
    <x v="245"/>
    <m/>
    <n v="17156.900000000001"/>
    <x v="562"/>
    <x v="0"/>
  </r>
  <r>
    <x v="6"/>
    <s v="Emitida"/>
    <d v="2018-07-04T00:00:00"/>
    <d v="2018-07-04T00:00:00"/>
    <x v="235"/>
    <m/>
    <n v="8712"/>
    <x v="563"/>
    <x v="0"/>
  </r>
  <r>
    <x v="6"/>
    <s v="Cancela"/>
    <d v="2018-07-04T00:00:00"/>
    <d v="2018-07-04T00:00:00"/>
    <x v="235"/>
    <d v="2018-07-04T00:00:00"/>
    <n v="8712"/>
    <x v="563"/>
    <x v="2"/>
  </r>
  <r>
    <x v="2"/>
    <s v="Emitida"/>
    <d v="2018-07-03T00:00:00"/>
    <d v="2018-07-03T00:00:00"/>
    <x v="236"/>
    <m/>
    <n v="24484"/>
    <x v="564"/>
    <x v="0"/>
  </r>
  <r>
    <x v="2"/>
    <s v="Emitida"/>
    <d v="2018-07-03T00:00:00"/>
    <d v="2018-07-03T00:00:00"/>
    <x v="236"/>
    <m/>
    <n v="11184"/>
    <x v="565"/>
    <x v="0"/>
  </r>
  <r>
    <x v="22"/>
    <s v="Emitida"/>
    <d v="2018-07-02T00:00:00"/>
    <d v="2018-07-02T00:00:00"/>
    <x v="247"/>
    <m/>
    <n v="3168"/>
    <x v="515"/>
    <x v="0"/>
  </r>
  <r>
    <x v="6"/>
    <s v="Emitida"/>
    <d v="2018-07-02T00:00:00"/>
    <d v="2018-07-02T00:00:00"/>
    <x v="239"/>
    <m/>
    <n v="810"/>
    <x v="566"/>
    <x v="0"/>
  </r>
  <r>
    <x v="26"/>
    <s v="Emitida"/>
    <d v="2018-07-02T00:00:00"/>
    <d v="2018-07-02T00:00:00"/>
    <x v="248"/>
    <m/>
    <n v="59213.3"/>
    <x v="567"/>
    <x v="0"/>
  </r>
  <r>
    <x v="7"/>
    <s v="Emitida"/>
    <d v="2018-06-29T00:00:00"/>
    <d v="2018-06-29T00:00:00"/>
    <x v="249"/>
    <m/>
    <n v="2690"/>
    <x v="568"/>
    <x v="0"/>
  </r>
  <r>
    <x v="6"/>
    <s v="Cancela"/>
    <d v="2018-06-28T00:00:00"/>
    <d v="2018-06-28T00:00:00"/>
    <x v="241"/>
    <d v="2018-06-29T00:00:00"/>
    <n v="2690"/>
    <x v="568"/>
    <x v="2"/>
  </r>
  <r>
    <x v="13"/>
    <s v="Emitida"/>
    <d v="2018-06-28T00:00:00"/>
    <d v="2018-06-28T00:00:00"/>
    <x v="241"/>
    <m/>
    <n v="20552"/>
    <x v="569"/>
    <x v="0"/>
  </r>
  <r>
    <x v="6"/>
    <s v="Emitida"/>
    <d v="2018-06-28T00:00:00"/>
    <d v="2018-06-28T00:00:00"/>
    <x v="241"/>
    <m/>
    <n v="29876"/>
    <x v="404"/>
    <x v="0"/>
  </r>
  <r>
    <x v="34"/>
    <s v="Emitida"/>
    <d v="2018-06-27T00:00:00"/>
    <d v="2018-06-27T00:00:00"/>
    <x v="250"/>
    <m/>
    <n v="1746"/>
    <x v="570"/>
    <x v="0"/>
  </r>
  <r>
    <x v="6"/>
    <s v="Emitida"/>
    <d v="2018-06-27T00:00:00"/>
    <d v="2018-06-27T00:00:00"/>
    <x v="251"/>
    <m/>
    <n v="90"/>
    <x v="571"/>
    <x v="0"/>
  </r>
  <r>
    <x v="26"/>
    <s v="Emitida"/>
    <d v="2018-06-27T00:00:00"/>
    <d v="2018-06-27T00:00:00"/>
    <x v="252"/>
    <m/>
    <n v="14234.5"/>
    <x v="572"/>
    <x v="0"/>
  </r>
  <r>
    <x v="26"/>
    <s v="Emitida"/>
    <d v="2018-06-26T00:00:00"/>
    <d v="2018-06-26T00:00:00"/>
    <x v="253"/>
    <m/>
    <n v="20067.599999999999"/>
    <x v="573"/>
    <x v="0"/>
  </r>
  <r>
    <x v="6"/>
    <s v="Emitida"/>
    <d v="2018-06-26T00:00:00"/>
    <d v="2018-06-26T00:00:00"/>
    <x v="254"/>
    <m/>
    <n v="34848"/>
    <x v="33"/>
    <x v="0"/>
  </r>
  <r>
    <x v="6"/>
    <s v="Emitida"/>
    <d v="2018-06-26T00:00:00"/>
    <d v="2018-06-26T00:00:00"/>
    <x v="254"/>
    <m/>
    <n v="17424"/>
    <x v="396"/>
    <x v="0"/>
  </r>
  <r>
    <x v="26"/>
    <s v="Emitida"/>
    <d v="2018-06-21T00:00:00"/>
    <d v="2018-06-21T00:00:00"/>
    <x v="255"/>
    <m/>
    <n v="1033.46"/>
    <x v="574"/>
    <x v="0"/>
  </r>
  <r>
    <x v="26"/>
    <s v="Emitida"/>
    <d v="2018-06-21T00:00:00"/>
    <d v="2018-06-21T00:00:00"/>
    <x v="255"/>
    <m/>
    <n v="3535.63"/>
    <x v="575"/>
    <x v="0"/>
  </r>
  <r>
    <x v="26"/>
    <s v="Emitida"/>
    <d v="2018-06-21T00:00:00"/>
    <d v="2018-06-21T00:00:00"/>
    <x v="255"/>
    <m/>
    <n v="2140.69"/>
    <x v="576"/>
    <x v="0"/>
  </r>
  <r>
    <x v="26"/>
    <s v="Emitida"/>
    <d v="2018-06-21T00:00:00"/>
    <d v="2018-06-21T00:00:00"/>
    <x v="255"/>
    <m/>
    <n v="2140.69"/>
    <x v="576"/>
    <x v="0"/>
  </r>
  <r>
    <x v="6"/>
    <s v="Emitida"/>
    <d v="2018-06-21T00:00:00"/>
    <d v="2018-06-21T00:00:00"/>
    <x v="256"/>
    <m/>
    <n v="8266"/>
    <x v="236"/>
    <x v="0"/>
  </r>
  <r>
    <x v="2"/>
    <s v="Emitida"/>
    <d v="2018-06-20T00:00:00"/>
    <d v="2018-06-20T00:00:00"/>
    <x v="246"/>
    <m/>
    <n v="240"/>
    <x v="577"/>
    <x v="0"/>
  </r>
  <r>
    <x v="10"/>
    <s v="Emitida"/>
    <d v="2018-06-18T00:00:00"/>
    <d v="2018-06-18T00:00:00"/>
    <x v="257"/>
    <m/>
    <n v="5899.5"/>
    <x v="578"/>
    <x v="0"/>
  </r>
  <r>
    <x v="6"/>
    <s v="Emitida"/>
    <d v="2018-06-18T00:00:00"/>
    <d v="2018-06-18T00:00:00"/>
    <x v="257"/>
    <m/>
    <n v="6624"/>
    <x v="579"/>
    <x v="0"/>
  </r>
  <r>
    <x v="6"/>
    <s v="Emitida"/>
    <d v="2018-06-13T00:00:00"/>
    <d v="2018-06-13T00:00:00"/>
    <x v="245"/>
    <m/>
    <n v="5000"/>
    <x v="69"/>
    <x v="0"/>
  </r>
  <r>
    <x v="6"/>
    <s v="Cancela"/>
    <d v="2018-06-13T00:00:00"/>
    <d v="2018-06-13T00:00:00"/>
    <x v="245"/>
    <d v="2018-06-14T00:00:00"/>
    <n v="6624"/>
    <x v="579"/>
    <x v="2"/>
  </r>
  <r>
    <x v="26"/>
    <s v="Emitida"/>
    <d v="2018-06-13T00:00:00"/>
    <d v="2018-06-13T00:00:00"/>
    <x v="258"/>
    <m/>
    <n v="42749.5"/>
    <x v="580"/>
    <x v="0"/>
  </r>
  <r>
    <x v="35"/>
    <s v="Emitida"/>
    <d v="2018-06-13T00:00:00"/>
    <d v="2018-06-13T00:00:00"/>
    <x v="259"/>
    <m/>
    <n v="5250"/>
    <x v="581"/>
    <x v="1"/>
  </r>
  <r>
    <x v="5"/>
    <s v="Emitida"/>
    <d v="2018-06-13T00:00:00"/>
    <d v="2018-06-13T00:00:00"/>
    <x v="241"/>
    <m/>
    <n v="25202"/>
    <x v="461"/>
    <x v="0"/>
  </r>
  <r>
    <x v="26"/>
    <s v="Emitida"/>
    <d v="2018-06-12T00:00:00"/>
    <d v="2018-06-12T00:00:00"/>
    <x v="260"/>
    <m/>
    <n v="4852.0600000000004"/>
    <x v="582"/>
    <x v="0"/>
  </r>
  <r>
    <x v="36"/>
    <s v="Emitida"/>
    <d v="2018-06-07T00:00:00"/>
    <d v="2018-06-07T00:00:00"/>
    <x v="261"/>
    <m/>
    <n v="2688"/>
    <x v="29"/>
    <x v="1"/>
  </r>
  <r>
    <x v="26"/>
    <s v="Emitida"/>
    <d v="2018-06-06T00:00:00"/>
    <d v="2018-06-06T00:00:00"/>
    <x v="261"/>
    <m/>
    <n v="27973"/>
    <x v="583"/>
    <x v="0"/>
  </r>
  <r>
    <x v="8"/>
    <s v="Emitida"/>
    <d v="2018-06-06T00:00:00"/>
    <d v="2018-06-06T00:00:00"/>
    <x v="256"/>
    <m/>
    <n v="32474.6"/>
    <x v="584"/>
    <x v="0"/>
  </r>
  <r>
    <x v="26"/>
    <s v="Emitida"/>
    <d v="2018-06-05T00:00:00"/>
    <d v="2018-06-05T00:00:00"/>
    <x v="262"/>
    <m/>
    <n v="21327.599999999999"/>
    <x v="585"/>
    <x v="0"/>
  </r>
  <r>
    <x v="6"/>
    <s v="Emitida"/>
    <d v="2018-06-04T00:00:00"/>
    <d v="2018-06-04T00:00:00"/>
    <x v="253"/>
    <m/>
    <n v="3418"/>
    <x v="586"/>
    <x v="0"/>
  </r>
  <r>
    <x v="26"/>
    <s v="Emitida"/>
    <d v="2018-06-04T00:00:00"/>
    <d v="2018-06-04T00:00:00"/>
    <x v="263"/>
    <m/>
    <n v="3896.1"/>
    <x v="587"/>
    <x v="0"/>
  </r>
  <r>
    <x v="26"/>
    <s v="Emitida"/>
    <d v="2018-06-04T00:00:00"/>
    <d v="2018-06-04T00:00:00"/>
    <x v="263"/>
    <m/>
    <n v="3014.38"/>
    <x v="588"/>
    <x v="0"/>
  </r>
  <r>
    <x v="26"/>
    <s v="Emitida"/>
    <d v="2018-05-31T00:00:00"/>
    <d v="2018-05-31T00:00:00"/>
    <x v="264"/>
    <m/>
    <n v="23433.7"/>
    <x v="589"/>
    <x v="0"/>
  </r>
  <r>
    <x v="6"/>
    <s v="Emitida"/>
    <d v="2018-05-30T00:00:00"/>
    <d v="2018-05-30T00:00:00"/>
    <x v="255"/>
    <m/>
    <n v="17424"/>
    <x v="396"/>
    <x v="0"/>
  </r>
  <r>
    <x v="6"/>
    <s v="Emitida"/>
    <d v="2018-05-28T00:00:00"/>
    <d v="2018-05-28T00:00:00"/>
    <x v="265"/>
    <m/>
    <n v="2600"/>
    <x v="590"/>
    <x v="0"/>
  </r>
  <r>
    <x v="15"/>
    <s v="Emitida"/>
    <d v="2018-05-24T00:00:00"/>
    <d v="2018-05-24T00:00:00"/>
    <x v="264"/>
    <m/>
    <n v="4187"/>
    <x v="591"/>
    <x v="0"/>
  </r>
  <r>
    <x v="15"/>
    <s v="Cancela"/>
    <d v="2018-05-24T00:00:00"/>
    <d v="2018-05-24T00:00:00"/>
    <x v="264"/>
    <d v="2018-05-24T00:00:00"/>
    <n v="212"/>
    <x v="592"/>
    <x v="2"/>
  </r>
  <r>
    <x v="15"/>
    <s v="Emitida"/>
    <d v="2018-05-24T00:00:00"/>
    <d v="2018-05-24T00:00:00"/>
    <x v="264"/>
    <m/>
    <n v="4187"/>
    <x v="591"/>
    <x v="0"/>
  </r>
  <r>
    <x v="15"/>
    <s v="Emitida"/>
    <d v="2018-05-24T00:00:00"/>
    <d v="2018-05-24T00:00:00"/>
    <x v="264"/>
    <m/>
    <n v="4187"/>
    <x v="591"/>
    <x v="0"/>
  </r>
  <r>
    <x v="15"/>
    <s v="Emitida"/>
    <d v="2018-05-24T00:00:00"/>
    <d v="2018-05-24T00:00:00"/>
    <x v="264"/>
    <m/>
    <n v="4187"/>
    <x v="591"/>
    <x v="0"/>
  </r>
  <r>
    <x v="15"/>
    <s v="Devuelta"/>
    <d v="2018-05-24T00:00:00"/>
    <d v="2018-05-24T00:00:00"/>
    <x v="264"/>
    <m/>
    <n v="4187"/>
    <x v="591"/>
    <x v="0"/>
  </r>
  <r>
    <x v="15"/>
    <s v="Emitida"/>
    <d v="2018-05-24T00:00:00"/>
    <d v="2018-05-24T00:00:00"/>
    <x v="264"/>
    <m/>
    <n v="8374"/>
    <x v="593"/>
    <x v="0"/>
  </r>
  <r>
    <x v="15"/>
    <s v="Emitida"/>
    <d v="2018-05-24T00:00:00"/>
    <d v="2018-05-24T00:00:00"/>
    <x v="264"/>
    <m/>
    <n v="8374"/>
    <x v="593"/>
    <x v="0"/>
  </r>
  <r>
    <x v="15"/>
    <s v="Emitida"/>
    <d v="2018-05-24T00:00:00"/>
    <d v="2018-05-24T00:00:00"/>
    <x v="264"/>
    <m/>
    <n v="4187"/>
    <x v="591"/>
    <x v="0"/>
  </r>
  <r>
    <x v="15"/>
    <s v="Emitida"/>
    <d v="2018-05-24T00:00:00"/>
    <d v="2018-05-24T00:00:00"/>
    <x v="264"/>
    <m/>
    <n v="4187"/>
    <x v="591"/>
    <x v="0"/>
  </r>
  <r>
    <x v="15"/>
    <s v="Emitida"/>
    <d v="2018-05-24T00:00:00"/>
    <d v="2018-05-24T00:00:00"/>
    <x v="264"/>
    <m/>
    <n v="8374"/>
    <x v="593"/>
    <x v="0"/>
  </r>
  <r>
    <x v="15"/>
    <s v="Emitida"/>
    <d v="2018-05-24T00:00:00"/>
    <d v="2018-05-24T00:00:00"/>
    <x v="264"/>
    <m/>
    <n v="4187"/>
    <x v="591"/>
    <x v="0"/>
  </r>
  <r>
    <x v="15"/>
    <s v="Emitida"/>
    <d v="2018-05-24T00:00:00"/>
    <d v="2018-05-24T00:00:00"/>
    <x v="264"/>
    <m/>
    <n v="4187"/>
    <x v="591"/>
    <x v="0"/>
  </r>
  <r>
    <x v="15"/>
    <s v="Cancela"/>
    <d v="2018-05-24T00:00:00"/>
    <d v="2018-05-24T00:00:00"/>
    <x v="264"/>
    <d v="2018-05-24T00:00:00"/>
    <n v="4187"/>
    <x v="591"/>
    <x v="2"/>
  </r>
  <r>
    <x v="15"/>
    <s v="Emitida"/>
    <d v="2018-05-24T00:00:00"/>
    <d v="2018-05-24T00:00:00"/>
    <x v="264"/>
    <m/>
    <n v="4187"/>
    <x v="591"/>
    <x v="0"/>
  </r>
  <r>
    <x v="26"/>
    <s v="Emitida"/>
    <d v="2018-05-24T00:00:00"/>
    <d v="2018-05-24T00:00:00"/>
    <x v="266"/>
    <m/>
    <n v="13956.9"/>
    <x v="594"/>
    <x v="0"/>
  </r>
  <r>
    <x v="10"/>
    <s v="Emitida"/>
    <d v="2018-05-23T00:00:00"/>
    <d v="2018-05-23T00:00:00"/>
    <x v="267"/>
    <m/>
    <n v="24807.8"/>
    <x v="595"/>
    <x v="0"/>
  </r>
  <r>
    <x v="10"/>
    <s v="Emitida"/>
    <d v="2018-05-23T00:00:00"/>
    <d v="2018-05-23T00:00:00"/>
    <x v="267"/>
    <m/>
    <n v="320"/>
    <x v="596"/>
    <x v="0"/>
  </r>
  <r>
    <x v="26"/>
    <s v="Emitida"/>
    <d v="2018-05-23T00:00:00"/>
    <d v="2018-05-23T00:00:00"/>
    <x v="268"/>
    <m/>
    <n v="4258.1499999999996"/>
    <x v="597"/>
    <x v="0"/>
  </r>
  <r>
    <x v="26"/>
    <s v="Emitida"/>
    <d v="2018-05-22T00:00:00"/>
    <d v="2018-05-22T00:00:00"/>
    <x v="269"/>
    <m/>
    <n v="4295.3100000000004"/>
    <x v="598"/>
    <x v="0"/>
  </r>
  <r>
    <x v="15"/>
    <s v="Emitida"/>
    <d v="2018-05-22T00:00:00"/>
    <d v="2018-05-22T00:00:00"/>
    <x v="270"/>
    <m/>
    <n v="4225.16"/>
    <x v="599"/>
    <x v="0"/>
  </r>
  <r>
    <x v="6"/>
    <s v="Emitida"/>
    <d v="2018-05-22T00:00:00"/>
    <d v="2018-05-22T00:00:00"/>
    <x v="258"/>
    <m/>
    <n v="17424"/>
    <x v="396"/>
    <x v="0"/>
  </r>
  <r>
    <x v="6"/>
    <s v="Emitida"/>
    <d v="2018-05-22T00:00:00"/>
    <d v="2018-05-22T00:00:00"/>
    <x v="258"/>
    <m/>
    <n v="18348"/>
    <x v="541"/>
    <x v="0"/>
  </r>
  <r>
    <x v="6"/>
    <s v="Emitida"/>
    <d v="2018-05-21T00:00:00"/>
    <d v="2018-05-21T00:00:00"/>
    <x v="260"/>
    <m/>
    <n v="5012"/>
    <x v="600"/>
    <x v="0"/>
  </r>
  <r>
    <x v="6"/>
    <s v="Emitida"/>
    <d v="2018-05-21T00:00:00"/>
    <d v="2018-05-21T00:00:00"/>
    <x v="260"/>
    <m/>
    <n v="11540"/>
    <x v="601"/>
    <x v="0"/>
  </r>
  <r>
    <x v="6"/>
    <s v="Emitida"/>
    <d v="2018-05-21T00:00:00"/>
    <d v="2018-05-21T00:00:00"/>
    <x v="260"/>
    <m/>
    <n v="5000"/>
    <x v="69"/>
    <x v="0"/>
  </r>
  <r>
    <x v="13"/>
    <s v="Emitida"/>
    <d v="2018-05-21T00:00:00"/>
    <d v="2018-05-21T00:00:00"/>
    <x v="260"/>
    <m/>
    <n v="19380"/>
    <x v="602"/>
    <x v="0"/>
  </r>
  <r>
    <x v="6"/>
    <s v="Emitida"/>
    <d v="2018-05-21T00:00:00"/>
    <d v="2018-05-21T00:00:00"/>
    <x v="260"/>
    <m/>
    <n v="4824"/>
    <x v="603"/>
    <x v="0"/>
  </r>
  <r>
    <x v="26"/>
    <s v="Emitida"/>
    <d v="2018-05-18T00:00:00"/>
    <d v="2018-05-18T00:00:00"/>
    <x v="271"/>
    <m/>
    <n v="3785.31"/>
    <x v="604"/>
    <x v="0"/>
  </r>
  <r>
    <x v="1"/>
    <s v="Emitida"/>
    <d v="2018-05-17T00:00:00"/>
    <d v="2018-05-17T00:00:00"/>
    <x v="272"/>
    <m/>
    <n v="112706"/>
    <x v="605"/>
    <x v="0"/>
  </r>
  <r>
    <x v="6"/>
    <s v="Emitida"/>
    <d v="2018-05-17T00:00:00"/>
    <d v="2018-05-17T00:00:00"/>
    <x v="272"/>
    <m/>
    <n v="12232"/>
    <x v="125"/>
    <x v="0"/>
  </r>
  <r>
    <x v="26"/>
    <s v="Emitida"/>
    <d v="2018-05-17T00:00:00"/>
    <d v="2018-05-17T00:00:00"/>
    <x v="273"/>
    <m/>
    <n v="45523.3"/>
    <x v="606"/>
    <x v="0"/>
  </r>
  <r>
    <x v="26"/>
    <s v="Emitida"/>
    <d v="2018-05-17T00:00:00"/>
    <d v="2018-05-17T00:00:00"/>
    <x v="273"/>
    <m/>
    <n v="5592.26"/>
    <x v="607"/>
    <x v="0"/>
  </r>
  <r>
    <x v="6"/>
    <s v="Emitida"/>
    <d v="2018-05-16T00:00:00"/>
    <d v="2018-05-16T00:00:00"/>
    <x v="274"/>
    <m/>
    <n v="4996"/>
    <x v="608"/>
    <x v="0"/>
  </r>
  <r>
    <x v="6"/>
    <s v="Emitida"/>
    <d v="2018-05-16T00:00:00"/>
    <d v="2018-05-16T00:00:00"/>
    <x v="274"/>
    <m/>
    <n v="5000"/>
    <x v="69"/>
    <x v="0"/>
  </r>
  <r>
    <x v="26"/>
    <s v="Emitida"/>
    <d v="2018-05-15T00:00:00"/>
    <d v="2018-05-15T00:00:00"/>
    <x v="275"/>
    <m/>
    <n v="541.79999999999995"/>
    <x v="609"/>
    <x v="0"/>
  </r>
  <r>
    <x v="26"/>
    <s v="Emitida"/>
    <d v="2018-05-15T00:00:00"/>
    <d v="2018-05-15T00:00:00"/>
    <x v="275"/>
    <m/>
    <n v="6966"/>
    <x v="368"/>
    <x v="0"/>
  </r>
  <r>
    <x v="37"/>
    <s v="Emitida"/>
    <d v="2018-05-14T00:00:00"/>
    <d v="2018-05-14T00:00:00"/>
    <x v="262"/>
    <m/>
    <n v="5130"/>
    <x v="610"/>
    <x v="0"/>
  </r>
  <r>
    <x v="26"/>
    <s v="Emitida"/>
    <d v="2018-05-14T00:00:00"/>
    <d v="2018-05-14T00:00:00"/>
    <x v="276"/>
    <m/>
    <n v="22861.8"/>
    <x v="611"/>
    <x v="0"/>
  </r>
  <r>
    <x v="26"/>
    <s v="Emitida"/>
    <d v="2018-05-14T00:00:00"/>
    <d v="2018-05-14T00:00:00"/>
    <x v="276"/>
    <m/>
    <n v="27031.8"/>
    <x v="612"/>
    <x v="0"/>
  </r>
  <r>
    <x v="26"/>
    <s v="Emitida"/>
    <d v="2018-05-11T00:00:00"/>
    <d v="2018-05-11T00:00:00"/>
    <x v="277"/>
    <m/>
    <n v="61746.400000000001"/>
    <x v="613"/>
    <x v="0"/>
  </r>
  <r>
    <x v="26"/>
    <s v="Emitida"/>
    <d v="2018-05-11T00:00:00"/>
    <d v="2018-05-11T00:00:00"/>
    <x v="277"/>
    <m/>
    <n v="9873.3700000000008"/>
    <x v="614"/>
    <x v="0"/>
  </r>
  <r>
    <x v="6"/>
    <s v="Emitida"/>
    <d v="2018-05-09T00:00:00"/>
    <d v="2018-05-09T00:00:00"/>
    <x v="264"/>
    <m/>
    <n v="12898"/>
    <x v="615"/>
    <x v="0"/>
  </r>
  <r>
    <x v="8"/>
    <s v="Emitida"/>
    <d v="2018-05-09T00:00:00"/>
    <d v="2018-05-09T00:00:00"/>
    <x v="278"/>
    <m/>
    <n v="40127"/>
    <x v="616"/>
    <x v="0"/>
  </r>
  <r>
    <x v="5"/>
    <s v="Emitida"/>
    <d v="2018-05-04T00:00:00"/>
    <d v="2018-05-04T00:00:00"/>
    <x v="279"/>
    <m/>
    <n v="25202"/>
    <x v="461"/>
    <x v="0"/>
  </r>
  <r>
    <x v="26"/>
    <s v="Emitida"/>
    <d v="2018-05-03T00:00:00"/>
    <d v="2018-05-03T00:00:00"/>
    <x v="280"/>
    <m/>
    <n v="10935.7"/>
    <x v="617"/>
    <x v="0"/>
  </r>
  <r>
    <x v="26"/>
    <s v="Emitida"/>
    <d v="2018-05-03T00:00:00"/>
    <d v="2018-05-03T00:00:00"/>
    <x v="280"/>
    <m/>
    <n v="29963.200000000001"/>
    <x v="618"/>
    <x v="0"/>
  </r>
  <r>
    <x v="6"/>
    <s v="Emitida"/>
    <d v="2018-05-02T00:00:00"/>
    <d v="2018-05-02T00:00:00"/>
    <x v="266"/>
    <m/>
    <n v="29480"/>
    <x v="106"/>
    <x v="0"/>
  </r>
  <r>
    <x v="6"/>
    <s v="Emitida"/>
    <d v="2018-05-02T00:00:00"/>
    <d v="2018-05-02T00:00:00"/>
    <x v="266"/>
    <m/>
    <n v="5000"/>
    <x v="69"/>
    <x v="0"/>
  </r>
  <r>
    <x v="26"/>
    <s v="Emitida"/>
    <d v="2018-05-02T00:00:00"/>
    <d v="2018-05-02T00:00:00"/>
    <x v="281"/>
    <m/>
    <n v="6263.03"/>
    <x v="619"/>
    <x v="0"/>
  </r>
  <r>
    <x v="6"/>
    <s v="Emitida"/>
    <d v="2018-04-26T00:00:00"/>
    <d v="2018-04-26T00:00:00"/>
    <x v="271"/>
    <m/>
    <n v="17424"/>
    <x v="396"/>
    <x v="0"/>
  </r>
  <r>
    <x v="38"/>
    <s v="Emitida"/>
    <d v="2018-04-25T00:00:00"/>
    <d v="2018-04-25T00:00:00"/>
    <x v="282"/>
    <m/>
    <n v="4715"/>
    <x v="620"/>
    <x v="0"/>
  </r>
  <r>
    <x v="26"/>
    <s v="Emitida"/>
    <d v="2018-04-24T00:00:00"/>
    <d v="2018-04-24T00:00:00"/>
    <x v="283"/>
    <m/>
    <n v="66109.100000000006"/>
    <x v="621"/>
    <x v="0"/>
  </r>
  <r>
    <x v="6"/>
    <s v="Emitida"/>
    <d v="2018-04-23T00:00:00"/>
    <d v="2018-04-23T00:00:00"/>
    <x v="275"/>
    <m/>
    <n v="6408"/>
    <x v="622"/>
    <x v="0"/>
  </r>
  <r>
    <x v="26"/>
    <s v="Emitida"/>
    <d v="2018-04-23T00:00:00"/>
    <d v="2018-04-23T00:00:00"/>
    <x v="284"/>
    <m/>
    <n v="2193.6"/>
    <x v="623"/>
    <x v="0"/>
  </r>
  <r>
    <x v="25"/>
    <s v="Emitida"/>
    <d v="2018-04-20T00:00:00"/>
    <d v="2018-04-20T00:00:00"/>
    <x v="285"/>
    <m/>
    <n v="16673"/>
    <x v="624"/>
    <x v="0"/>
  </r>
  <r>
    <x v="17"/>
    <s v="Emitida"/>
    <d v="2018-04-19T00:00:00"/>
    <d v="2018-04-19T00:00:00"/>
    <x v="286"/>
    <m/>
    <n v="542"/>
    <x v="625"/>
    <x v="0"/>
  </r>
  <r>
    <x v="13"/>
    <s v="Emitida"/>
    <d v="2018-04-19T00:00:00"/>
    <d v="2018-04-19T00:00:00"/>
    <x v="277"/>
    <m/>
    <n v="27490"/>
    <x v="626"/>
    <x v="0"/>
  </r>
  <r>
    <x v="6"/>
    <s v="Emitida"/>
    <d v="2018-04-18T00:00:00"/>
    <d v="2018-04-18T00:00:00"/>
    <x v="287"/>
    <m/>
    <n v="17424"/>
    <x v="396"/>
    <x v="0"/>
  </r>
  <r>
    <x v="6"/>
    <s v="Emitida"/>
    <d v="2018-04-16T00:00:00"/>
    <d v="2018-04-16T00:00:00"/>
    <x v="288"/>
    <m/>
    <n v="19224"/>
    <x v="627"/>
    <x v="0"/>
  </r>
  <r>
    <x v="5"/>
    <s v="Emitida"/>
    <d v="2018-04-12T00:00:00"/>
    <d v="2018-04-12T00:00:00"/>
    <x v="289"/>
    <m/>
    <n v="25202"/>
    <x v="461"/>
    <x v="0"/>
  </r>
  <r>
    <x v="5"/>
    <s v="Emitida"/>
    <d v="2018-04-11T00:00:00"/>
    <d v="2018-04-11T00:00:00"/>
    <x v="271"/>
    <m/>
    <n v="25202"/>
    <x v="461"/>
    <x v="0"/>
  </r>
  <r>
    <x v="25"/>
    <s v="Emitida"/>
    <d v="2018-04-11T00:00:00"/>
    <d v="2018-04-11T00:00:00"/>
    <x v="290"/>
    <m/>
    <n v="16673"/>
    <x v="624"/>
    <x v="0"/>
  </r>
  <r>
    <x v="6"/>
    <s v="Emitida"/>
    <d v="2018-04-11T00:00:00"/>
    <d v="2018-04-11T00:00:00"/>
    <x v="280"/>
    <m/>
    <n v="16532"/>
    <x v="294"/>
    <x v="0"/>
  </r>
  <r>
    <x v="1"/>
    <s v="Emitida"/>
    <d v="2018-04-10T00:00:00"/>
    <d v="2018-04-10T00:00:00"/>
    <x v="281"/>
    <m/>
    <n v="74855.600000000006"/>
    <x v="628"/>
    <x v="0"/>
  </r>
  <r>
    <x v="24"/>
    <s v="Emitida"/>
    <d v="2018-04-09T00:00:00"/>
    <d v="2018-04-09T00:00:00"/>
    <x v="291"/>
    <m/>
    <n v="8886"/>
    <x v="629"/>
    <x v="0"/>
  </r>
  <r>
    <x v="5"/>
    <s v="Emitida"/>
    <d v="2018-04-06T00:00:00"/>
    <d v="2018-04-06T00:00:00"/>
    <x v="292"/>
    <m/>
    <n v="25202"/>
    <x v="461"/>
    <x v="0"/>
  </r>
  <r>
    <x v="26"/>
    <s v="Emitida"/>
    <d v="2018-04-06T00:00:00"/>
    <d v="2018-04-06T00:00:00"/>
    <x v="293"/>
    <m/>
    <n v="104052"/>
    <x v="630"/>
    <x v="0"/>
  </r>
  <r>
    <x v="26"/>
    <s v="Cancela"/>
    <d v="2018-04-06T00:00:00"/>
    <d v="2018-04-06T00:00:00"/>
    <x v="293"/>
    <d v="2018-04-06T00:00:00"/>
    <n v="104731"/>
    <x v="631"/>
    <x v="2"/>
  </r>
  <r>
    <x v="7"/>
    <s v="Emitida"/>
    <d v="2018-04-05T00:00:00"/>
    <d v="2018-04-05T00:00:00"/>
    <x v="294"/>
    <m/>
    <n v="22577"/>
    <x v="632"/>
    <x v="0"/>
  </r>
  <r>
    <x v="6"/>
    <s v="Emitida"/>
    <d v="2018-04-05T00:00:00"/>
    <d v="2018-04-05T00:00:00"/>
    <x v="285"/>
    <m/>
    <n v="13844"/>
    <x v="633"/>
    <x v="0"/>
  </r>
  <r>
    <x v="6"/>
    <s v="Cancela"/>
    <d v="2018-04-04T00:00:00"/>
    <d v="2018-04-04T00:00:00"/>
    <x v="286"/>
    <d v="2018-04-05T00:00:00"/>
    <n v="22577"/>
    <x v="632"/>
    <x v="2"/>
  </r>
  <r>
    <x v="6"/>
    <s v="Emitida"/>
    <d v="2018-04-04T00:00:00"/>
    <d v="2018-04-04T00:00:00"/>
    <x v="286"/>
    <m/>
    <n v="4292"/>
    <x v="634"/>
    <x v="0"/>
  </r>
  <r>
    <x v="26"/>
    <s v="Emitida"/>
    <d v="2018-04-04T00:00:00"/>
    <d v="2018-04-04T00:00:00"/>
    <x v="295"/>
    <m/>
    <n v="9702.11"/>
    <x v="635"/>
    <x v="0"/>
  </r>
  <r>
    <x v="6"/>
    <s v="Emitida"/>
    <d v="2018-04-04T00:00:00"/>
    <d v="2018-04-04T00:00:00"/>
    <x v="286"/>
    <m/>
    <n v="46904"/>
    <x v="47"/>
    <x v="0"/>
  </r>
  <r>
    <x v="6"/>
    <s v="Cancela"/>
    <d v="2018-04-04T00:00:00"/>
    <d v="2018-04-04T00:00:00"/>
    <x v="286"/>
    <d v="2018-04-04T00:00:00"/>
    <n v="2468"/>
    <x v="636"/>
    <x v="2"/>
  </r>
  <r>
    <x v="25"/>
    <s v="Emitida"/>
    <d v="2018-04-02T00:00:00"/>
    <d v="2018-04-02T00:00:00"/>
    <x v="291"/>
    <m/>
    <n v="17376"/>
    <x v="637"/>
    <x v="0"/>
  </r>
  <r>
    <x v="25"/>
    <s v="Cancela"/>
    <d v="2018-04-02T00:00:00"/>
    <d v="2018-04-02T00:00:00"/>
    <x v="291"/>
    <d v="2018-04-02T00:00:00"/>
    <n v="18079"/>
    <x v="638"/>
    <x v="2"/>
  </r>
  <r>
    <x v="5"/>
    <s v="Emitida"/>
    <d v="2018-03-28T00:00:00"/>
    <d v="2018-03-28T00:00:00"/>
    <x v="296"/>
    <m/>
    <n v="25202"/>
    <x v="461"/>
    <x v="0"/>
  </r>
  <r>
    <x v="26"/>
    <s v="Emitida"/>
    <d v="2018-03-28T00:00:00"/>
    <d v="2018-03-28T00:00:00"/>
    <x v="297"/>
    <m/>
    <n v="3119.22"/>
    <x v="639"/>
    <x v="0"/>
  </r>
  <r>
    <x v="5"/>
    <s v="Emitida"/>
    <d v="2018-03-27T00:00:00"/>
    <d v="2018-03-27T00:00:00"/>
    <x v="280"/>
    <m/>
    <n v="25202"/>
    <x v="461"/>
    <x v="0"/>
  </r>
  <r>
    <x v="6"/>
    <s v="Emitida"/>
    <d v="2018-03-27T00:00:00"/>
    <d v="2018-03-27T00:00:00"/>
    <x v="290"/>
    <m/>
    <n v="13672"/>
    <x v="640"/>
    <x v="0"/>
  </r>
  <r>
    <x v="26"/>
    <s v="Emitida"/>
    <d v="2018-03-27T00:00:00"/>
    <d v="2018-03-27T00:00:00"/>
    <x v="298"/>
    <m/>
    <n v="23716.1"/>
    <x v="641"/>
    <x v="0"/>
  </r>
  <r>
    <x v="7"/>
    <s v="Emitida"/>
    <d v="2018-03-26T00:00:00"/>
    <d v="2018-03-26T00:00:00"/>
    <x v="299"/>
    <m/>
    <n v="220"/>
    <x v="642"/>
    <x v="0"/>
  </r>
  <r>
    <x v="7"/>
    <s v="Cancela"/>
    <d v="2018-03-26T00:00:00"/>
    <d v="2018-03-26T00:00:00"/>
    <x v="299"/>
    <d v="2018-03-26T00:00:00"/>
    <n v="220"/>
    <x v="642"/>
    <x v="2"/>
  </r>
  <r>
    <x v="38"/>
    <s v="Emitida"/>
    <d v="2018-03-26T00:00:00"/>
    <d v="2018-03-26T00:00:00"/>
    <x v="300"/>
    <m/>
    <n v="5256.84"/>
    <x v="643"/>
    <x v="0"/>
  </r>
  <r>
    <x v="13"/>
    <s v="Emitida"/>
    <d v="2018-03-26T00:00:00"/>
    <d v="2018-03-26T00:00:00"/>
    <x v="282"/>
    <m/>
    <n v="5620"/>
    <x v="644"/>
    <x v="0"/>
  </r>
  <r>
    <x v="6"/>
    <s v="Emitida"/>
    <d v="2018-03-23T00:00:00"/>
    <d v="2018-03-23T00:00:00"/>
    <x v="301"/>
    <m/>
    <n v="7296"/>
    <x v="645"/>
    <x v="0"/>
  </r>
  <r>
    <x v="36"/>
    <s v="Emitida"/>
    <d v="2018-03-22T00:00:00"/>
    <d v="2018-03-22T00:00:00"/>
    <x v="302"/>
    <m/>
    <n v="798"/>
    <x v="646"/>
    <x v="1"/>
  </r>
  <r>
    <x v="36"/>
    <s v="Cancela"/>
    <d v="2018-03-22T00:00:00"/>
    <d v="2018-03-22T00:00:00"/>
    <x v="302"/>
    <d v="2018-03-22T00:00:00"/>
    <n v="798"/>
    <x v="646"/>
    <x v="4"/>
  </r>
  <r>
    <x v="26"/>
    <s v="Emitida"/>
    <d v="2018-03-22T00:00:00"/>
    <d v="2018-03-22T00:00:00"/>
    <x v="303"/>
    <m/>
    <n v="35435.5"/>
    <x v="647"/>
    <x v="0"/>
  </r>
  <r>
    <x v="10"/>
    <s v="Emitida"/>
    <d v="2018-03-21T00:00:00"/>
    <d v="2018-03-21T00:00:00"/>
    <x v="294"/>
    <m/>
    <n v="262941"/>
    <x v="648"/>
    <x v="0"/>
  </r>
  <r>
    <x v="10"/>
    <s v="Emitida"/>
    <d v="2018-03-21T00:00:00"/>
    <d v="2018-03-21T00:00:00"/>
    <x v="294"/>
    <m/>
    <n v="7440"/>
    <x v="649"/>
    <x v="0"/>
  </r>
  <r>
    <x v="25"/>
    <s v="Emitida"/>
    <d v="2018-03-21T00:00:00"/>
    <d v="2018-03-21T00:00:00"/>
    <x v="297"/>
    <m/>
    <n v="18079"/>
    <x v="638"/>
    <x v="0"/>
  </r>
  <r>
    <x v="8"/>
    <s v="Emitida"/>
    <d v="2018-03-21T00:00:00"/>
    <d v="2018-03-21T00:00:00"/>
    <x v="285"/>
    <m/>
    <n v="20032"/>
    <x v="650"/>
    <x v="0"/>
  </r>
  <r>
    <x v="26"/>
    <s v="Emitida"/>
    <d v="2018-03-21T00:00:00"/>
    <d v="2018-03-21T00:00:00"/>
    <x v="302"/>
    <m/>
    <n v="2471.04"/>
    <x v="651"/>
    <x v="0"/>
  </r>
  <r>
    <x v="26"/>
    <s v="Emitida"/>
    <d v="2018-03-20T00:00:00"/>
    <d v="2018-03-20T00:00:00"/>
    <x v="304"/>
    <m/>
    <n v="1234.2"/>
    <x v="652"/>
    <x v="0"/>
  </r>
  <r>
    <x v="7"/>
    <s v="Emitida"/>
    <d v="2018-03-20T00:00:00"/>
    <d v="2018-03-20T00:00:00"/>
    <x v="298"/>
    <m/>
    <n v="5495"/>
    <x v="653"/>
    <x v="0"/>
  </r>
  <r>
    <x v="26"/>
    <s v="Emitida"/>
    <d v="2018-03-16T00:00:00"/>
    <d v="2018-03-16T00:00:00"/>
    <x v="305"/>
    <m/>
    <n v="557.70000000000005"/>
    <x v="654"/>
    <x v="0"/>
  </r>
  <r>
    <x v="6"/>
    <s v="Emitida"/>
    <d v="2018-03-14T00:00:00"/>
    <d v="2018-03-14T00:00:00"/>
    <x v="306"/>
    <m/>
    <n v="3461"/>
    <x v="655"/>
    <x v="0"/>
  </r>
  <r>
    <x v="5"/>
    <s v="Emitida"/>
    <d v="2018-03-13T00:00:00"/>
    <d v="2018-03-13T00:00:00"/>
    <x v="307"/>
    <m/>
    <n v="25202"/>
    <x v="461"/>
    <x v="0"/>
  </r>
  <r>
    <x v="6"/>
    <s v="Emitida"/>
    <d v="2018-03-12T00:00:00"/>
    <d v="2018-03-12T00:00:00"/>
    <x v="308"/>
    <m/>
    <n v="10887"/>
    <x v="656"/>
    <x v="0"/>
  </r>
  <r>
    <x v="6"/>
    <s v="Cancela"/>
    <d v="2018-03-12T00:00:00"/>
    <d v="2018-03-12T00:00:00"/>
    <x v="308"/>
    <d v="2018-03-12T00:00:00"/>
    <n v="6481"/>
    <x v="657"/>
    <x v="2"/>
  </r>
  <r>
    <x v="5"/>
    <s v="Emitida"/>
    <d v="2018-03-12T00:00:00"/>
    <d v="2018-03-12T00:00:00"/>
    <x v="290"/>
    <m/>
    <n v="25202"/>
    <x v="461"/>
    <x v="0"/>
  </r>
  <r>
    <x v="6"/>
    <s v="Emitida"/>
    <d v="2018-03-12T00:00:00"/>
    <d v="2018-03-12T00:00:00"/>
    <x v="308"/>
    <m/>
    <n v="24004"/>
    <x v="658"/>
    <x v="0"/>
  </r>
  <r>
    <x v="6"/>
    <s v="Cancela"/>
    <d v="2018-03-12T00:00:00"/>
    <d v="2018-03-12T00:00:00"/>
    <x v="308"/>
    <d v="2018-03-12T00:00:00"/>
    <n v="24004"/>
    <x v="658"/>
    <x v="2"/>
  </r>
  <r>
    <x v="0"/>
    <s v="Emitida"/>
    <d v="2018-03-09T00:00:00"/>
    <d v="2018-03-09T00:00:00"/>
    <x v="309"/>
    <m/>
    <n v="1975"/>
    <x v="659"/>
    <x v="0"/>
  </r>
  <r>
    <x v="7"/>
    <s v="Emitida"/>
    <d v="2018-03-08T00:00:00"/>
    <d v="2018-03-08T00:00:00"/>
    <x v="310"/>
    <m/>
    <n v="7264"/>
    <x v="660"/>
    <x v="0"/>
  </r>
  <r>
    <x v="6"/>
    <s v="Emitida"/>
    <d v="2018-03-08T00:00:00"/>
    <d v="2018-03-08T00:00:00"/>
    <x v="311"/>
    <m/>
    <n v="24004"/>
    <x v="658"/>
    <x v="0"/>
  </r>
  <r>
    <x v="6"/>
    <s v="Cancela"/>
    <d v="2018-03-07T00:00:00"/>
    <d v="2018-03-07T00:00:00"/>
    <x v="312"/>
    <d v="2018-03-08T00:00:00"/>
    <n v="30712"/>
    <x v="661"/>
    <x v="2"/>
  </r>
  <r>
    <x v="8"/>
    <s v="Emitida"/>
    <d v="2018-03-07T00:00:00"/>
    <d v="2018-03-07T00:00:00"/>
    <x v="313"/>
    <m/>
    <n v="39094"/>
    <x v="662"/>
    <x v="0"/>
  </r>
  <r>
    <x v="26"/>
    <s v="Emitida"/>
    <d v="2018-03-05T00:00:00"/>
    <d v="2018-03-05T00:00:00"/>
    <x v="314"/>
    <m/>
    <n v="3268.25"/>
    <x v="663"/>
    <x v="0"/>
  </r>
  <r>
    <x v="26"/>
    <s v="Emitida"/>
    <d v="2018-03-05T00:00:00"/>
    <d v="2018-03-05T00:00:00"/>
    <x v="314"/>
    <m/>
    <n v="5060.8900000000003"/>
    <x v="664"/>
    <x v="0"/>
  </r>
  <r>
    <x v="5"/>
    <s v="Emitida"/>
    <d v="2018-03-02T00:00:00"/>
    <d v="2018-03-02T00:00:00"/>
    <x v="315"/>
    <m/>
    <n v="25202"/>
    <x v="461"/>
    <x v="0"/>
  </r>
  <r>
    <x v="7"/>
    <s v="Emitida"/>
    <d v="2018-03-02T00:00:00"/>
    <d v="2018-04-05T00:00:00"/>
    <x v="316"/>
    <m/>
    <n v="29480"/>
    <x v="106"/>
    <x v="0"/>
  </r>
  <r>
    <x v="26"/>
    <s v="Emitida"/>
    <d v="2018-03-02T00:00:00"/>
    <d v="2018-03-02T00:00:00"/>
    <x v="317"/>
    <m/>
    <n v="9789.15"/>
    <x v="665"/>
    <x v="0"/>
  </r>
  <r>
    <x v="26"/>
    <s v="Emitida"/>
    <d v="2018-03-02T00:00:00"/>
    <d v="2018-03-02T00:00:00"/>
    <x v="317"/>
    <m/>
    <n v="83158.899999999994"/>
    <x v="666"/>
    <x v="0"/>
  </r>
  <r>
    <x v="5"/>
    <s v="Emitida"/>
    <d v="2018-03-01T00:00:00"/>
    <d v="2018-03-01T00:00:00"/>
    <x v="318"/>
    <m/>
    <n v="25202"/>
    <x v="461"/>
    <x v="0"/>
  </r>
  <r>
    <x v="2"/>
    <s v="Emitida"/>
    <d v="2018-03-01T00:00:00"/>
    <d v="2018-03-01T00:00:00"/>
    <x v="319"/>
    <m/>
    <n v="13584"/>
    <x v="667"/>
    <x v="0"/>
  </r>
  <r>
    <x v="26"/>
    <s v="Emitida"/>
    <d v="2018-03-01T00:00:00"/>
    <d v="2018-03-01T00:00:00"/>
    <x v="320"/>
    <m/>
    <n v="10323"/>
    <x v="668"/>
    <x v="0"/>
  </r>
  <r>
    <x v="26"/>
    <s v="Emitida"/>
    <d v="2018-03-01T00:00:00"/>
    <d v="2018-03-01T00:00:00"/>
    <x v="320"/>
    <m/>
    <n v="7066.92"/>
    <x v="669"/>
    <x v="0"/>
  </r>
  <r>
    <x v="26"/>
    <s v="Emitida"/>
    <d v="2018-03-01T00:00:00"/>
    <d v="2018-03-01T00:00:00"/>
    <x v="320"/>
    <m/>
    <n v="8298.23"/>
    <x v="670"/>
    <x v="0"/>
  </r>
  <r>
    <x v="26"/>
    <s v="Emitida"/>
    <d v="2018-03-01T00:00:00"/>
    <d v="2018-03-01T00:00:00"/>
    <x v="320"/>
    <m/>
    <n v="22202.400000000001"/>
    <x v="671"/>
    <x v="0"/>
  </r>
  <r>
    <x v="26"/>
    <s v="Emitida"/>
    <d v="2018-02-28T00:00:00"/>
    <d v="2018-02-28T00:00:00"/>
    <x v="321"/>
    <m/>
    <n v="12927.4"/>
    <x v="672"/>
    <x v="0"/>
  </r>
  <r>
    <x v="25"/>
    <s v="Emitida"/>
    <d v="2018-02-28T00:00:00"/>
    <d v="2018-02-28T00:00:00"/>
    <x v="322"/>
    <m/>
    <n v="9100"/>
    <x v="673"/>
    <x v="0"/>
  </r>
  <r>
    <x v="25"/>
    <s v="Emitida"/>
    <d v="2018-02-28T00:00:00"/>
    <d v="2018-02-28T00:00:00"/>
    <x v="322"/>
    <m/>
    <n v="34800"/>
    <x v="674"/>
    <x v="0"/>
  </r>
  <r>
    <x v="5"/>
    <s v="Emitida"/>
    <d v="2018-02-28T00:00:00"/>
    <d v="2018-02-28T00:00:00"/>
    <x v="293"/>
    <m/>
    <n v="25202"/>
    <x v="461"/>
    <x v="0"/>
  </r>
  <r>
    <x v="26"/>
    <s v="Emitida"/>
    <d v="2018-02-28T00:00:00"/>
    <d v="2018-02-28T00:00:00"/>
    <x v="321"/>
    <m/>
    <n v="4066.63"/>
    <x v="675"/>
    <x v="0"/>
  </r>
  <r>
    <x v="26"/>
    <s v="Emitida"/>
    <d v="2018-02-26T00:00:00"/>
    <d v="2018-02-26T00:00:00"/>
    <x v="323"/>
    <m/>
    <n v="12750"/>
    <x v="676"/>
    <x v="0"/>
  </r>
  <r>
    <x v="6"/>
    <s v="Emitida"/>
    <d v="2018-02-25T00:00:00"/>
    <d v="2018-02-25T00:00:00"/>
    <x v="324"/>
    <m/>
    <n v="16532"/>
    <x v="294"/>
    <x v="0"/>
  </r>
  <r>
    <x v="5"/>
    <s v="Emitida"/>
    <d v="2018-02-23T00:00:00"/>
    <d v="2018-02-23T00:00:00"/>
    <x v="325"/>
    <m/>
    <n v="25202"/>
    <x v="461"/>
    <x v="0"/>
  </r>
  <r>
    <x v="5"/>
    <s v="Emitida"/>
    <d v="2018-02-23T00:00:00"/>
    <d v="2018-02-23T00:00:00"/>
    <x v="325"/>
    <m/>
    <n v="25202"/>
    <x v="461"/>
    <x v="0"/>
  </r>
  <r>
    <x v="5"/>
    <s v="Cancela"/>
    <d v="2018-02-23T00:00:00"/>
    <d v="2018-02-23T00:00:00"/>
    <x v="325"/>
    <d v="2018-02-23T00:00:00"/>
    <n v="25202"/>
    <x v="461"/>
    <x v="2"/>
  </r>
  <r>
    <x v="26"/>
    <s v="Emitida"/>
    <d v="2018-02-23T00:00:00"/>
    <d v="2018-02-23T00:00:00"/>
    <x v="326"/>
    <m/>
    <n v="16809.599999999999"/>
    <x v="677"/>
    <x v="0"/>
  </r>
  <r>
    <x v="5"/>
    <s v="Cancela"/>
    <d v="2018-02-23T00:00:00"/>
    <d v="2018-02-23T00:00:00"/>
    <x v="325"/>
    <d v="2018-02-23T00:00:00"/>
    <n v="16809.599999999999"/>
    <x v="677"/>
    <x v="2"/>
  </r>
  <r>
    <x v="7"/>
    <s v="Emitida"/>
    <d v="2018-02-22T00:00:00"/>
    <d v="2018-02-22T00:00:00"/>
    <x v="320"/>
    <m/>
    <n v="22577"/>
    <x v="632"/>
    <x v="0"/>
  </r>
  <r>
    <x v="7"/>
    <s v="Emitida"/>
    <d v="2018-02-20T00:00:00"/>
    <d v="2018-02-20T00:00:00"/>
    <x v="327"/>
    <m/>
    <n v="29480"/>
    <x v="106"/>
    <x v="0"/>
  </r>
  <r>
    <x v="25"/>
    <s v="Emitida"/>
    <d v="2018-02-20T00:00:00"/>
    <d v="2018-02-20T00:00:00"/>
    <x v="327"/>
    <m/>
    <n v="34800"/>
    <x v="674"/>
    <x v="0"/>
  </r>
  <r>
    <x v="25"/>
    <s v="Cancela"/>
    <d v="2018-02-19T00:00:00"/>
    <d v="2018-02-19T00:00:00"/>
    <x v="323"/>
    <d v="2018-02-20T00:00:00"/>
    <n v="34800"/>
    <x v="674"/>
    <x v="2"/>
  </r>
  <r>
    <x v="25"/>
    <s v="Emitida"/>
    <d v="2018-02-19T00:00:00"/>
    <d v="2018-02-19T00:00:00"/>
    <x v="323"/>
    <m/>
    <n v="9100"/>
    <x v="673"/>
    <x v="0"/>
  </r>
  <r>
    <x v="26"/>
    <s v="Emitida"/>
    <d v="2018-02-15T00:00:00"/>
    <d v="2018-02-15T00:00:00"/>
    <x v="328"/>
    <m/>
    <n v="54559.199999999997"/>
    <x v="678"/>
    <x v="0"/>
  </r>
  <r>
    <x v="26"/>
    <s v="Emitida"/>
    <d v="2018-02-06T00:00:00"/>
    <d v="2018-02-06T00:00:00"/>
    <x v="329"/>
    <m/>
    <n v="47373.7"/>
    <x v="679"/>
    <x v="0"/>
  </r>
  <r>
    <x v="14"/>
    <s v="Emitida"/>
    <d v="2018-02-02T00:00:00"/>
    <d v="2018-02-02T00:00:00"/>
    <x v="330"/>
    <m/>
    <n v="11631.2"/>
    <x v="680"/>
    <x v="0"/>
  </r>
  <r>
    <x v="25"/>
    <s v="Emitida"/>
    <d v="2018-02-02T00:00:00"/>
    <d v="2018-02-02T00:00:00"/>
    <x v="331"/>
    <m/>
    <n v="38572"/>
    <x v="681"/>
    <x v="0"/>
  </r>
  <r>
    <x v="26"/>
    <s v="Emitida"/>
    <d v="2018-01-31T00:00:00"/>
    <d v="2018-01-31T00:00:00"/>
    <x v="332"/>
    <m/>
    <n v="41072"/>
    <x v="682"/>
    <x v="0"/>
  </r>
  <r>
    <x v="26"/>
    <s v="Emitida"/>
    <d v="2018-01-31T00:00:00"/>
    <d v="2018-01-31T00:00:00"/>
    <x v="332"/>
    <m/>
    <n v="23461.200000000001"/>
    <x v="683"/>
    <x v="0"/>
  </r>
  <r>
    <x v="6"/>
    <s v="Emitida"/>
    <d v="2018-01-30T00:00:00"/>
    <d v="2018-01-30T00:00:00"/>
    <x v="333"/>
    <m/>
    <n v="7722"/>
    <x v="684"/>
    <x v="0"/>
  </r>
  <r>
    <x v="0"/>
    <s v="Emitida"/>
    <d v="2018-01-30T00:00:00"/>
    <d v="2018-01-30T00:00:00"/>
    <x v="334"/>
    <m/>
    <n v="2203"/>
    <x v="685"/>
    <x v="0"/>
  </r>
  <r>
    <x v="10"/>
    <s v="Emitida"/>
    <d v="2018-01-30T00:00:00"/>
    <d v="2018-01-30T00:00:00"/>
    <x v="333"/>
    <m/>
    <n v="63444.4"/>
    <x v="686"/>
    <x v="0"/>
  </r>
  <r>
    <x v="10"/>
    <s v="Emitida"/>
    <d v="2018-01-30T00:00:00"/>
    <d v="2018-01-30T00:00:00"/>
    <x v="333"/>
    <m/>
    <n v="2320"/>
    <x v="687"/>
    <x v="0"/>
  </r>
  <r>
    <x v="8"/>
    <s v="Emitida"/>
    <d v="2018-01-29T00:00:00"/>
    <d v="2018-01-29T00:00:00"/>
    <x v="322"/>
    <m/>
    <n v="50068"/>
    <x v="688"/>
    <x v="0"/>
  </r>
  <r>
    <x v="25"/>
    <s v="Emitida"/>
    <d v="2018-01-25T00:00:00"/>
    <d v="2018-01-25T00:00:00"/>
    <x v="330"/>
    <m/>
    <n v="38572"/>
    <x v="681"/>
    <x v="0"/>
  </r>
  <r>
    <x v="25"/>
    <s v="Emitida"/>
    <d v="2018-01-25T00:00:00"/>
    <d v="2018-01-25T00:00:00"/>
    <x v="330"/>
    <m/>
    <n v="9100"/>
    <x v="673"/>
    <x v="0"/>
  </r>
  <r>
    <x v="6"/>
    <s v="Emitida"/>
    <d v="2018-01-24T00:00:00"/>
    <d v="2018-01-23T00:00:00"/>
    <x v="328"/>
    <m/>
    <n v="16304"/>
    <x v="689"/>
    <x v="0"/>
  </r>
  <r>
    <x v="39"/>
    <s v="Emitida"/>
    <d v="2018-01-23T00:00:00"/>
    <d v="2018-01-22T00:00:00"/>
    <x v="335"/>
    <m/>
    <n v="2900"/>
    <x v="690"/>
    <x v="0"/>
  </r>
  <r>
    <x v="2"/>
    <s v="Emitida"/>
    <d v="2018-01-23T00:00:00"/>
    <d v="2018-01-23T00:00:00"/>
    <x v="336"/>
    <m/>
    <n v="650"/>
    <x v="691"/>
    <x v="0"/>
  </r>
  <r>
    <x v="6"/>
    <s v="Emitida"/>
    <d v="2018-01-22T00:00:00"/>
    <d v="2018-01-22T00:00:00"/>
    <x v="337"/>
    <m/>
    <n v="18238"/>
    <x v="692"/>
    <x v="0"/>
  </r>
  <r>
    <x v="2"/>
    <s v="Emitida"/>
    <d v="2018-01-22T00:00:00"/>
    <d v="2018-01-22T00:00:00"/>
    <x v="337"/>
    <m/>
    <n v="9056"/>
    <x v="693"/>
    <x v="0"/>
  </r>
  <r>
    <x v="2"/>
    <s v="Emitida"/>
    <d v="2018-01-19T00:00:00"/>
    <d v="2018-01-19T00:00:00"/>
    <x v="338"/>
    <m/>
    <n v="2247"/>
    <x v="694"/>
    <x v="0"/>
  </r>
  <r>
    <x v="25"/>
    <s v="Emitida"/>
    <d v="2018-01-18T00:00:00"/>
    <d v="2018-01-18T00:00:00"/>
    <x v="339"/>
    <m/>
    <n v="504"/>
    <x v="695"/>
    <x v="0"/>
  </r>
  <r>
    <x v="2"/>
    <s v="Emitida"/>
    <d v="2018-01-17T00:00:00"/>
    <d v="2018-01-17T00:00:00"/>
    <x v="340"/>
    <m/>
    <n v="2247"/>
    <x v="694"/>
    <x v="0"/>
  </r>
  <r>
    <x v="14"/>
    <s v="Emitida"/>
    <d v="2018-01-16T00:00:00"/>
    <d v="2018-01-16T00:00:00"/>
    <x v="341"/>
    <m/>
    <n v="2208.64"/>
    <x v="696"/>
    <x v="0"/>
  </r>
  <r>
    <x v="6"/>
    <s v="Emitida"/>
    <d v="2018-01-16T00:00:00"/>
    <d v="2018-01-16T00:00:00"/>
    <x v="342"/>
    <m/>
    <n v="34848"/>
    <x v="33"/>
    <x v="0"/>
  </r>
  <r>
    <x v="2"/>
    <s v="Emitida"/>
    <d v="2018-01-16T00:00:00"/>
    <d v="2018-01-16T00:00:00"/>
    <x v="342"/>
    <m/>
    <n v="21040"/>
    <x v="697"/>
    <x v="0"/>
  </r>
  <r>
    <x v="6"/>
    <s v="Emitida"/>
    <d v="2018-01-15T00:00:00"/>
    <d v="2018-01-15T00:00:00"/>
    <x v="329"/>
    <m/>
    <n v="29480"/>
    <x v="106"/>
    <x v="0"/>
  </r>
  <r>
    <x v="7"/>
    <s v="Emitida"/>
    <d v="2018-01-15T00:00:00"/>
    <d v="2018-01-15T00:00:00"/>
    <x v="343"/>
    <m/>
    <n v="17520"/>
    <x v="698"/>
    <x v="0"/>
  </r>
  <r>
    <x v="6"/>
    <s v="Emitida"/>
    <d v="2018-01-12T00:00:00"/>
    <d v="2018-01-12T00:00:00"/>
    <x v="344"/>
    <m/>
    <n v="28400"/>
    <x v="699"/>
    <x v="0"/>
  </r>
  <r>
    <x v="6"/>
    <s v="Emitida"/>
    <d v="2018-01-12T00:00:00"/>
    <d v="2018-01-12T00:00:00"/>
    <x v="344"/>
    <m/>
    <n v="4632"/>
    <x v="700"/>
    <x v="0"/>
  </r>
  <r>
    <x v="6"/>
    <s v="Emitida"/>
    <d v="2018-01-09T00:00:00"/>
    <d v="2018-01-09T00:00:00"/>
    <x v="332"/>
    <m/>
    <n v="2660"/>
    <x v="701"/>
    <x v="0"/>
  </r>
  <r>
    <x v="26"/>
    <s v="Emitida"/>
    <d v="2018-01-09T00:00:00"/>
    <d v="2018-01-09T00:00:00"/>
    <x v="345"/>
    <m/>
    <n v="20683.599999999999"/>
    <x v="702"/>
    <x v="0"/>
  </r>
  <r>
    <x v="26"/>
    <s v="Emitida"/>
    <d v="2018-01-09T00:00:00"/>
    <d v="2018-01-09T00:00:00"/>
    <x v="345"/>
    <m/>
    <n v="20683.599999999999"/>
    <x v="702"/>
    <x v="0"/>
  </r>
  <r>
    <x v="26"/>
    <s v="Emitida"/>
    <d v="2018-01-08T00:00:00"/>
    <d v="2018-01-08T00:00:00"/>
    <x v="346"/>
    <m/>
    <n v="2581.4299999999998"/>
    <x v="703"/>
    <x v="0"/>
  </r>
  <r>
    <x v="26"/>
    <s v="Emitida"/>
    <d v="2018-01-08T00:00:00"/>
    <d v="2018-01-08T00:00:00"/>
    <x v="346"/>
    <m/>
    <n v="53345.5"/>
    <x v="704"/>
    <x v="0"/>
  </r>
  <r>
    <x v="26"/>
    <s v="Emitida"/>
    <d v="2018-01-08T00:00:00"/>
    <d v="2018-01-08T00:00:00"/>
    <x v="346"/>
    <m/>
    <n v="25814.3"/>
    <x v="705"/>
    <x v="0"/>
  </r>
  <r>
    <x v="25"/>
    <s v="Emitida"/>
    <d v="2018-01-04T00:00:00"/>
    <d v="2018-01-04T00:00:00"/>
    <x v="347"/>
    <m/>
    <n v="833"/>
    <x v="706"/>
    <x v="0"/>
  </r>
  <r>
    <x v="13"/>
    <s v="Emitida"/>
    <d v="2018-01-04T00:00:00"/>
    <d v="2018-01-04T00:00:00"/>
    <x v="348"/>
    <m/>
    <n v="5620"/>
    <x v="644"/>
    <x v="0"/>
  </r>
  <r>
    <x v="26"/>
    <s v="Emitida"/>
    <d v="2018-01-04T00:00:00"/>
    <d v="2018-01-04T00:00:00"/>
    <x v="349"/>
    <m/>
    <n v="3343.47"/>
    <x v="707"/>
    <x v="0"/>
  </r>
  <r>
    <x v="26"/>
    <s v="Emitida"/>
    <d v="2018-01-04T00:00:00"/>
    <d v="2018-01-04T00:00:00"/>
    <x v="349"/>
    <m/>
    <n v="2340"/>
    <x v="197"/>
    <x v="0"/>
  </r>
  <r>
    <x v="26"/>
    <s v="Emitida"/>
    <d v="2018-01-04T00:00:00"/>
    <d v="2018-01-04T00:00:00"/>
    <x v="349"/>
    <m/>
    <n v="1170"/>
    <x v="708"/>
    <x v="0"/>
  </r>
  <r>
    <x v="26"/>
    <s v="Emitida"/>
    <d v="2018-01-04T00:00:00"/>
    <d v="2018-01-04T00:00:00"/>
    <x v="349"/>
    <m/>
    <n v="15656.5"/>
    <x v="709"/>
    <x v="0"/>
  </r>
  <r>
    <x v="26"/>
    <s v="Emitida"/>
    <d v="2018-01-04T00:00:00"/>
    <d v="2018-01-04T00:00:00"/>
    <x v="349"/>
    <m/>
    <n v="18787.8"/>
    <x v="710"/>
    <x v="0"/>
  </r>
  <r>
    <x v="26"/>
    <s v="Emitida"/>
    <d v="2018-01-02T00:00:00"/>
    <d v="2018-01-02T00:00:00"/>
    <x v="350"/>
    <m/>
    <n v="2648.52"/>
    <x v="711"/>
    <x v="0"/>
  </r>
  <r>
    <x v="26"/>
    <s v="Emitida"/>
    <d v="2018-01-02T00:00:00"/>
    <d v="2018-01-02T00:00:00"/>
    <x v="350"/>
    <m/>
    <n v="2208.31"/>
    <x v="712"/>
    <x v="0"/>
  </r>
  <r>
    <x v="26"/>
    <s v="Emitida"/>
    <d v="2018-01-02T00:00:00"/>
    <d v="2018-01-02T00:00:00"/>
    <x v="350"/>
    <m/>
    <n v="27695"/>
    <x v="713"/>
    <x v="0"/>
  </r>
  <r>
    <x v="26"/>
    <s v="Emitida"/>
    <d v="2017-12-21T00:00:00"/>
    <d v="2017-12-21T00:00:00"/>
    <x v="351"/>
    <m/>
    <n v="6650.87"/>
    <x v="714"/>
    <x v="0"/>
  </r>
  <r>
    <x v="26"/>
    <s v="Emitida"/>
    <d v="2017-12-21T00:00:00"/>
    <d v="2017-12-21T00:00:00"/>
    <x v="351"/>
    <m/>
    <n v="49881.5"/>
    <x v="715"/>
    <x v="0"/>
  </r>
  <r>
    <x v="2"/>
    <s v="Emitida"/>
    <d v="2017-12-21T00:00:00"/>
    <d v="2017-12-21T00:00:00"/>
    <x v="352"/>
    <m/>
    <n v="3590"/>
    <x v="716"/>
    <x v="0"/>
  </r>
  <r>
    <x v="25"/>
    <s v="Emitida"/>
    <d v="2017-12-20T00:00:00"/>
    <d v="2017-12-20T00:00:00"/>
    <x v="353"/>
    <m/>
    <n v="38572"/>
    <x v="681"/>
    <x v="0"/>
  </r>
  <r>
    <x v="25"/>
    <s v="Cancela"/>
    <d v="2017-12-20T00:00:00"/>
    <d v="2017-12-20T00:00:00"/>
    <x v="353"/>
    <d v="2017-12-20T00:00:00"/>
    <n v="36158"/>
    <x v="717"/>
    <x v="2"/>
  </r>
  <r>
    <x v="13"/>
    <s v="Emitida"/>
    <d v="2017-12-20T00:00:00"/>
    <d v="2017-12-20T00:00:00"/>
    <x v="347"/>
    <m/>
    <n v="43965"/>
    <x v="718"/>
    <x v="0"/>
  </r>
  <r>
    <x v="26"/>
    <s v="Emitida"/>
    <d v="2017-12-19T00:00:00"/>
    <d v="2017-12-19T00:00:00"/>
    <x v="354"/>
    <m/>
    <n v="7420.56"/>
    <x v="719"/>
    <x v="0"/>
  </r>
  <r>
    <x v="25"/>
    <s v="Emitida"/>
    <d v="2017-12-19T00:00:00"/>
    <d v="2017-12-19T00:00:00"/>
    <x v="355"/>
    <m/>
    <n v="18200"/>
    <x v="720"/>
    <x v="0"/>
  </r>
  <r>
    <x v="27"/>
    <s v="Emitida"/>
    <d v="2017-12-18T00:00:00"/>
    <d v="2017-12-18T00:00:00"/>
    <x v="356"/>
    <m/>
    <n v="3360"/>
    <x v="721"/>
    <x v="0"/>
  </r>
  <r>
    <x v="25"/>
    <s v="Emitida"/>
    <d v="2017-12-15T00:00:00"/>
    <d v="2017-12-15T00:00:00"/>
    <x v="357"/>
    <m/>
    <n v="38572"/>
    <x v="681"/>
    <x v="0"/>
  </r>
  <r>
    <x v="25"/>
    <s v="Emitida"/>
    <d v="2017-12-15T00:00:00"/>
    <d v="2017-12-15T00:00:00"/>
    <x v="357"/>
    <m/>
    <n v="36158"/>
    <x v="717"/>
    <x v="0"/>
  </r>
  <r>
    <x v="0"/>
    <s v="Emitida"/>
    <d v="2017-12-15T00:00:00"/>
    <d v="2017-12-15T00:00:00"/>
    <x v="358"/>
    <m/>
    <n v="2608"/>
    <x v="722"/>
    <x v="0"/>
  </r>
  <r>
    <x v="0"/>
    <s v="Cancela"/>
    <d v="2017-12-15T00:00:00"/>
    <d v="2017-12-15T00:00:00"/>
    <x v="358"/>
    <d v="2017-12-15T00:00:00"/>
    <n v="2608"/>
    <x v="722"/>
    <x v="2"/>
  </r>
  <r>
    <x v="0"/>
    <s v="Cancela"/>
    <d v="2017-12-14T00:00:00"/>
    <d v="2017-12-14T00:00:00"/>
    <x v="359"/>
    <d v="2017-12-15T00:00:00"/>
    <n v="2608"/>
    <x v="722"/>
    <x v="2"/>
  </r>
  <r>
    <x v="6"/>
    <s v="Emitida"/>
    <d v="2017-12-14T00:00:00"/>
    <d v="2017-12-14T00:00:00"/>
    <x v="360"/>
    <m/>
    <n v="17640"/>
    <x v="723"/>
    <x v="0"/>
  </r>
  <r>
    <x v="26"/>
    <s v="Emitida"/>
    <d v="2017-12-14T00:00:00"/>
    <d v="2017-12-14T00:00:00"/>
    <x v="358"/>
    <m/>
    <n v="10221"/>
    <x v="724"/>
    <x v="0"/>
  </r>
  <r>
    <x v="24"/>
    <s v="Emitida"/>
    <d v="2017-12-13T00:00:00"/>
    <d v="2017-12-13T00:00:00"/>
    <x v="359"/>
    <m/>
    <n v="9901.86"/>
    <x v="725"/>
    <x v="0"/>
  </r>
  <r>
    <x v="24"/>
    <s v="Cancela"/>
    <d v="2017-12-12T00:00:00"/>
    <d v="2017-12-12T00:00:00"/>
    <x v="361"/>
    <d v="2017-12-13T00:00:00"/>
    <n v="9901.86"/>
    <x v="725"/>
    <x v="2"/>
  </r>
  <r>
    <x v="6"/>
    <s v="Emitida"/>
    <d v="2017-12-12T00:00:00"/>
    <d v="2017-12-12T00:00:00"/>
    <x v="362"/>
    <m/>
    <n v="2660"/>
    <x v="701"/>
    <x v="0"/>
  </r>
  <r>
    <x v="6"/>
    <s v="Cancela"/>
    <d v="2017-12-11T00:00:00"/>
    <d v="2017-12-11T00:00:00"/>
    <x v="350"/>
    <d v="2017-12-12T00:00:00"/>
    <n v="2660"/>
    <x v="701"/>
    <x v="2"/>
  </r>
  <r>
    <x v="6"/>
    <s v="Cancela"/>
    <d v="2017-12-11T00:00:00"/>
    <d v="2017-12-11T00:00:00"/>
    <x v="350"/>
    <d v="2017-12-11T00:00:00"/>
    <n v="2660"/>
    <x v="701"/>
    <x v="2"/>
  </r>
  <r>
    <x v="6"/>
    <s v="Emitida"/>
    <d v="2017-12-11T00:00:00"/>
    <d v="2017-12-11T00:00:00"/>
    <x v="350"/>
    <m/>
    <n v="147"/>
    <x v="726"/>
    <x v="0"/>
  </r>
  <r>
    <x v="26"/>
    <s v="Emitida"/>
    <d v="2017-12-11T00:00:00"/>
    <d v="2017-12-11T00:00:00"/>
    <x v="363"/>
    <m/>
    <n v="30877.1"/>
    <x v="727"/>
    <x v="5"/>
  </r>
  <r>
    <x v="8"/>
    <s v="Emitida"/>
    <d v="2017-12-07T00:00:00"/>
    <d v="2017-12-07T00:00:00"/>
    <x v="364"/>
    <m/>
    <n v="38698"/>
    <x v="728"/>
    <x v="5"/>
  </r>
  <r>
    <x v="6"/>
    <s v="Emitida"/>
    <d v="2017-12-01T00:00:00"/>
    <d v="2017-12-01T00:00:00"/>
    <x v="365"/>
    <m/>
    <n v="16892"/>
    <x v="729"/>
    <x v="5"/>
  </r>
  <r>
    <x v="6"/>
    <s v="Cancela"/>
    <d v="2017-12-01T00:00:00"/>
    <d v="2017-12-01T00:00:00"/>
    <x v="365"/>
    <d v="2017-12-01T00:00:00"/>
    <n v="16892"/>
    <x v="729"/>
    <x v="2"/>
  </r>
  <r>
    <x v="26"/>
    <s v="Emitida"/>
    <d v="2017-11-30T00:00:00"/>
    <d v="2017-11-30T00:00:00"/>
    <x v="366"/>
    <m/>
    <n v="2251.34"/>
    <x v="730"/>
    <x v="5"/>
  </r>
  <r>
    <x v="26"/>
    <s v="Emitida"/>
    <d v="2017-11-30T00:00:00"/>
    <d v="2017-11-30T00:00:00"/>
    <x v="366"/>
    <m/>
    <n v="43645.9"/>
    <x v="731"/>
    <x v="5"/>
  </r>
  <r>
    <x v="6"/>
    <s v="Emitida"/>
    <d v="2017-11-30T00:00:00"/>
    <d v="2017-11-30T00:00:00"/>
    <x v="357"/>
    <m/>
    <n v="1824"/>
    <x v="732"/>
    <x v="5"/>
  </r>
  <r>
    <x v="6"/>
    <s v="Emitida"/>
    <d v="2017-11-30T00:00:00"/>
    <d v="2017-11-30T00:00:00"/>
    <x v="357"/>
    <m/>
    <n v="16336"/>
    <x v="733"/>
    <x v="5"/>
  </r>
  <r>
    <x v="26"/>
    <s v="Emitida"/>
    <d v="2017-11-30T00:00:00"/>
    <d v="2017-11-30T00:00:00"/>
    <x v="366"/>
    <m/>
    <n v="1385.7"/>
    <x v="734"/>
    <x v="5"/>
  </r>
  <r>
    <x v="6"/>
    <s v="Emitida"/>
    <d v="2017-11-30T00:00:00"/>
    <d v="2017-11-29T00:00:00"/>
    <x v="357"/>
    <m/>
    <n v="5310"/>
    <x v="735"/>
    <x v="5"/>
  </r>
  <r>
    <x v="6"/>
    <s v="Emitida"/>
    <d v="2017-11-29T00:00:00"/>
    <d v="2017-11-29T00:00:00"/>
    <x v="351"/>
    <m/>
    <n v="23650"/>
    <x v="736"/>
    <x v="5"/>
  </r>
  <r>
    <x v="6"/>
    <s v="Emitida"/>
    <d v="2017-11-29T00:00:00"/>
    <d v="2017-11-29T00:00:00"/>
    <x v="351"/>
    <m/>
    <n v="6080"/>
    <x v="737"/>
    <x v="5"/>
  </r>
  <r>
    <x v="13"/>
    <s v="Emitida"/>
    <d v="2017-11-27T00:00:00"/>
    <d v="2017-11-27T00:00:00"/>
    <x v="354"/>
    <m/>
    <n v="13471"/>
    <x v="738"/>
    <x v="5"/>
  </r>
  <r>
    <x v="6"/>
    <s v="Emitida"/>
    <d v="2017-11-27T00:00:00"/>
    <d v="2017-11-27T00:00:00"/>
    <x v="354"/>
    <m/>
    <n v="16892"/>
    <x v="729"/>
    <x v="5"/>
  </r>
  <r>
    <x v="6"/>
    <s v="Emitida"/>
    <d v="2017-11-24T00:00:00"/>
    <d v="2017-11-24T00:00:00"/>
    <x v="367"/>
    <m/>
    <n v="13434"/>
    <x v="739"/>
    <x v="5"/>
  </r>
  <r>
    <x v="26"/>
    <s v="Emitida"/>
    <d v="2017-11-23T00:00:00"/>
    <d v="2017-11-23T00:00:00"/>
    <x v="368"/>
    <m/>
    <n v="15110.5"/>
    <x v="740"/>
    <x v="5"/>
  </r>
  <r>
    <x v="31"/>
    <s v="Emitida"/>
    <d v="2017-11-23T00:00:00"/>
    <d v="2017-11-23T00:00:00"/>
    <x v="369"/>
    <m/>
    <n v="1129.2"/>
    <x v="741"/>
    <x v="5"/>
  </r>
  <r>
    <x v="26"/>
    <s v="Emitida"/>
    <d v="2017-11-22T00:00:00"/>
    <d v="2017-11-22T00:00:00"/>
    <x v="369"/>
    <m/>
    <n v="48515"/>
    <x v="742"/>
    <x v="5"/>
  </r>
  <r>
    <x v="26"/>
    <s v="Emitida"/>
    <d v="2017-11-21T00:00:00"/>
    <d v="2017-11-21T00:00:00"/>
    <x v="370"/>
    <m/>
    <n v="7129.85"/>
    <x v="743"/>
    <x v="5"/>
  </r>
  <r>
    <x v="26"/>
    <s v="Cancela"/>
    <d v="2017-11-21T00:00:00"/>
    <d v="2017-11-21T00:00:00"/>
    <x v="370"/>
    <d v="2017-11-21T00:00:00"/>
    <n v="372.9"/>
    <x v="744"/>
    <x v="2"/>
  </r>
  <r>
    <x v="6"/>
    <s v="Emitida"/>
    <d v="2017-11-21T00:00:00"/>
    <d v="2017-11-21T00:00:00"/>
    <x v="359"/>
    <m/>
    <n v="14740"/>
    <x v="135"/>
    <x v="5"/>
  </r>
  <r>
    <x v="10"/>
    <s v="Emitida"/>
    <d v="2017-11-21T00:00:00"/>
    <d v="2017-11-21T00:00:00"/>
    <x v="359"/>
    <m/>
    <n v="156688"/>
    <x v="745"/>
    <x v="5"/>
  </r>
  <r>
    <x v="10"/>
    <s v="Emitida"/>
    <d v="2017-11-21T00:00:00"/>
    <d v="2017-11-21T00:00:00"/>
    <x v="359"/>
    <m/>
    <n v="4720"/>
    <x v="746"/>
    <x v="5"/>
  </r>
  <r>
    <x v="31"/>
    <s v="Emitida"/>
    <d v="2017-11-21T00:00:00"/>
    <d v="2017-11-21T00:00:00"/>
    <x v="371"/>
    <m/>
    <n v="30553.7"/>
    <x v="747"/>
    <x v="5"/>
  </r>
  <r>
    <x v="26"/>
    <s v="Emitida"/>
    <d v="2017-11-21T00:00:00"/>
    <d v="2017-11-21T00:00:00"/>
    <x v="370"/>
    <m/>
    <n v="1425.97"/>
    <x v="748"/>
    <x v="5"/>
  </r>
  <r>
    <x v="26"/>
    <s v="Cancela"/>
    <d v="2017-11-21T00:00:00"/>
    <d v="2017-11-21T00:00:00"/>
    <x v="370"/>
    <d v="2017-11-21T00:00:00"/>
    <n v="74.58"/>
    <x v="749"/>
    <x v="2"/>
  </r>
  <r>
    <x v="26"/>
    <s v="Emitida"/>
    <d v="2017-11-17T00:00:00"/>
    <d v="2017-11-17T00:00:00"/>
    <x v="372"/>
    <m/>
    <n v="43320.7"/>
    <x v="750"/>
    <x v="5"/>
  </r>
  <r>
    <x v="2"/>
    <s v="Emitida"/>
    <d v="2017-11-13T00:00:00"/>
    <d v="2017-11-13T00:00:00"/>
    <x v="373"/>
    <m/>
    <n v="14090"/>
    <x v="751"/>
    <x v="5"/>
  </r>
  <r>
    <x v="2"/>
    <s v="Emitida"/>
    <d v="2017-11-13T00:00:00"/>
    <d v="2017-11-13T00:00:00"/>
    <x v="373"/>
    <m/>
    <n v="19002"/>
    <x v="752"/>
    <x v="5"/>
  </r>
  <r>
    <x v="13"/>
    <s v="Emitida"/>
    <d v="2017-11-09T00:00:00"/>
    <d v="2017-11-09T00:00:00"/>
    <x v="374"/>
    <m/>
    <n v="1057"/>
    <x v="753"/>
    <x v="5"/>
  </r>
  <r>
    <x v="26"/>
    <s v="Emitida"/>
    <d v="2017-11-09T00:00:00"/>
    <d v="2017-11-09T00:00:00"/>
    <x v="375"/>
    <m/>
    <n v="8498.89"/>
    <x v="754"/>
    <x v="5"/>
  </r>
  <r>
    <x v="26"/>
    <s v="Emitida"/>
    <d v="2017-11-07T00:00:00"/>
    <d v="2017-11-07T00:00:00"/>
    <x v="376"/>
    <m/>
    <n v="10395.9"/>
    <x v="755"/>
    <x v="5"/>
  </r>
  <r>
    <x v="26"/>
    <s v="Emitida"/>
    <d v="2017-11-06T00:00:00"/>
    <d v="2017-11-06T00:00:00"/>
    <x v="377"/>
    <m/>
    <n v="7129.85"/>
    <x v="743"/>
    <x v="5"/>
  </r>
  <r>
    <x v="31"/>
    <s v="Emitida"/>
    <d v="2017-10-31T00:00:00"/>
    <d v="2017-10-31T00:00:00"/>
    <x v="378"/>
    <m/>
    <n v="30448.5"/>
    <x v="756"/>
    <x v="5"/>
  </r>
  <r>
    <x v="26"/>
    <s v="Emitida"/>
    <d v="2017-10-26T00:00:00"/>
    <d v="2017-10-26T00:00:00"/>
    <x v="379"/>
    <m/>
    <n v="4451.8999999999996"/>
    <x v="757"/>
    <x v="5"/>
  </r>
  <r>
    <x v="31"/>
    <s v="Emitida"/>
    <d v="2017-10-26T00:00:00"/>
    <d v="2017-10-26T00:00:00"/>
    <x v="380"/>
    <m/>
    <n v="14325.6"/>
    <x v="758"/>
    <x v="5"/>
  </r>
  <r>
    <x v="31"/>
    <s v="Cancela"/>
    <d v="2017-10-25T00:00:00"/>
    <d v="2017-10-25T00:00:00"/>
    <x v="381"/>
    <d v="2017-10-26T00:00:00"/>
    <n v="14325.6"/>
    <x v="758"/>
    <x v="2"/>
  </r>
  <r>
    <x v="13"/>
    <s v="Emitida"/>
    <d v="2017-10-25T00:00:00"/>
    <d v="2017-10-25T00:00:00"/>
    <x v="382"/>
    <m/>
    <n v="10600"/>
    <x v="759"/>
    <x v="5"/>
  </r>
  <r>
    <x v="8"/>
    <s v="Emitida"/>
    <d v="2017-10-24T00:00:00"/>
    <d v="2017-10-24T00:00:00"/>
    <x v="366"/>
    <m/>
    <n v="12216.6"/>
    <x v="760"/>
    <x v="5"/>
  </r>
  <r>
    <x v="13"/>
    <s v="Emitida"/>
    <d v="2017-10-24T00:00:00"/>
    <d v="2017-10-24T00:00:00"/>
    <x v="383"/>
    <m/>
    <n v="10660"/>
    <x v="761"/>
    <x v="5"/>
  </r>
  <r>
    <x v="26"/>
    <s v="Emitida"/>
    <d v="2017-10-24T00:00:00"/>
    <d v="2017-10-24T00:00:00"/>
    <x v="381"/>
    <m/>
    <n v="21196.7"/>
    <x v="762"/>
    <x v="5"/>
  </r>
  <r>
    <x v="26"/>
    <s v="Emitida"/>
    <d v="2017-10-24T00:00:00"/>
    <d v="2017-10-24T00:00:00"/>
    <x v="381"/>
    <m/>
    <n v="2382.52"/>
    <x v="763"/>
    <x v="5"/>
  </r>
  <r>
    <x v="26"/>
    <s v="Emitida"/>
    <d v="2017-10-24T00:00:00"/>
    <d v="2017-10-24T00:00:00"/>
    <x v="381"/>
    <m/>
    <n v="2446.2199999999998"/>
    <x v="764"/>
    <x v="5"/>
  </r>
  <r>
    <x v="26"/>
    <s v="Emitida"/>
    <d v="2017-10-24T00:00:00"/>
    <d v="2017-10-24T00:00:00"/>
    <x v="381"/>
    <m/>
    <n v="3553.83"/>
    <x v="765"/>
    <x v="5"/>
  </r>
  <r>
    <x v="26"/>
    <s v="Emitida"/>
    <d v="2017-10-24T00:00:00"/>
    <d v="2017-10-24T00:00:00"/>
    <x v="381"/>
    <m/>
    <n v="21387.200000000001"/>
    <x v="766"/>
    <x v="5"/>
  </r>
  <r>
    <x v="6"/>
    <s v="Emitida"/>
    <d v="2017-10-23T00:00:00"/>
    <d v="2017-10-23T00:00:00"/>
    <x v="384"/>
    <m/>
    <n v="3794"/>
    <x v="767"/>
    <x v="5"/>
  </r>
  <r>
    <x v="6"/>
    <s v="Emitida"/>
    <d v="2017-10-20T00:00:00"/>
    <d v="2017-10-20T00:00:00"/>
    <x v="385"/>
    <m/>
    <n v="40500"/>
    <x v="768"/>
    <x v="5"/>
  </r>
  <r>
    <x v="13"/>
    <s v="Emitida"/>
    <d v="2017-10-18T00:00:00"/>
    <d v="2017-10-18T00:00:00"/>
    <x v="375"/>
    <m/>
    <n v="5808"/>
    <x v="769"/>
    <x v="5"/>
  </r>
  <r>
    <x v="6"/>
    <s v="Emitida"/>
    <d v="2017-10-17T00:00:00"/>
    <d v="2017-10-17T00:00:00"/>
    <x v="386"/>
    <m/>
    <n v="14740"/>
    <x v="135"/>
    <x v="5"/>
  </r>
  <r>
    <x v="31"/>
    <s v="Cancela"/>
    <d v="2017-10-17T00:00:00"/>
    <d v="2017-10-17T00:00:00"/>
    <x v="387"/>
    <d v="2017-10-31T00:00:00"/>
    <n v="17766"/>
    <x v="770"/>
    <x v="2"/>
  </r>
  <r>
    <x v="26"/>
    <s v="Emitida"/>
    <d v="2017-10-16T00:00:00"/>
    <d v="2017-10-16T00:00:00"/>
    <x v="387"/>
    <m/>
    <n v="6955.08"/>
    <x v="771"/>
    <x v="5"/>
  </r>
  <r>
    <x v="13"/>
    <s v="Emitida"/>
    <d v="2017-10-12T00:00:00"/>
    <d v="2017-10-12T00:00:00"/>
    <x v="388"/>
    <m/>
    <n v="5080.91"/>
    <x v="772"/>
    <x v="5"/>
  </r>
  <r>
    <x v="6"/>
    <s v="Emitida"/>
    <d v="2017-10-11T00:00:00"/>
    <d v="2017-10-11T00:00:00"/>
    <x v="389"/>
    <m/>
    <n v="4200"/>
    <x v="773"/>
    <x v="5"/>
  </r>
  <r>
    <x v="31"/>
    <s v="Cancela"/>
    <d v="2017-10-11T00:00:00"/>
    <d v="2017-10-11T00:00:00"/>
    <x v="390"/>
    <d v="2017-10-31T00:00:00"/>
    <n v="25116.3"/>
    <x v="774"/>
    <x v="2"/>
  </r>
  <r>
    <x v="40"/>
    <s v="Emitida"/>
    <d v="2017-10-10T00:00:00"/>
    <d v="2017-10-10T00:00:00"/>
    <x v="391"/>
    <m/>
    <n v="26360"/>
    <x v="775"/>
    <x v="5"/>
  </r>
  <r>
    <x v="6"/>
    <s v="Emitida"/>
    <d v="2017-10-10T00:00:00"/>
    <d v="2017-10-10T00:00:00"/>
    <x v="392"/>
    <m/>
    <n v="14480"/>
    <x v="776"/>
    <x v="5"/>
  </r>
  <r>
    <x v="6"/>
    <s v="Emitida"/>
    <d v="2017-10-09T00:00:00"/>
    <d v="2017-10-09T00:00:00"/>
    <x v="393"/>
    <m/>
    <n v="8326"/>
    <x v="777"/>
    <x v="5"/>
  </r>
  <r>
    <x v="6"/>
    <s v="Emitida"/>
    <d v="2017-10-09T00:00:00"/>
    <d v="2017-10-09T00:00:00"/>
    <x v="393"/>
    <m/>
    <n v="8266"/>
    <x v="236"/>
    <x v="5"/>
  </r>
  <r>
    <x v="6"/>
    <s v="Emitida"/>
    <d v="2017-10-09T00:00:00"/>
    <d v="2017-10-09T00:00:00"/>
    <x v="393"/>
    <m/>
    <n v="8312"/>
    <x v="778"/>
    <x v="5"/>
  </r>
  <r>
    <x v="6"/>
    <s v="Cancela"/>
    <d v="2017-10-09T00:00:00"/>
    <d v="2017-10-09T00:00:00"/>
    <x v="393"/>
    <d v="2017-10-09T00:00:00"/>
    <n v="8312"/>
    <x v="778"/>
    <x v="2"/>
  </r>
  <r>
    <x v="26"/>
    <s v="Emitida"/>
    <d v="2017-10-09T00:00:00"/>
    <d v="2017-10-09T00:00:00"/>
    <x v="394"/>
    <m/>
    <n v="20152.7"/>
    <x v="779"/>
    <x v="5"/>
  </r>
  <r>
    <x v="24"/>
    <s v="Emitida"/>
    <d v="2017-10-05T00:00:00"/>
    <d v="2017-10-05T00:00:00"/>
    <x v="395"/>
    <m/>
    <n v="2662"/>
    <x v="780"/>
    <x v="5"/>
  </r>
  <r>
    <x v="24"/>
    <s v="Cancela"/>
    <d v="2017-10-05T00:00:00"/>
    <d v="2017-10-05T00:00:00"/>
    <x v="395"/>
    <d v="2017-10-05T00:00:00"/>
    <n v="2662"/>
    <x v="780"/>
    <x v="2"/>
  </r>
  <r>
    <x v="24"/>
    <s v="Cancela"/>
    <d v="2017-10-05T00:00:00"/>
    <d v="2017-10-05T00:00:00"/>
    <x v="395"/>
    <d v="2017-10-05T00:00:00"/>
    <n v="2662"/>
    <x v="780"/>
    <x v="2"/>
  </r>
  <r>
    <x v="6"/>
    <s v="Emitida"/>
    <d v="2017-10-04T00:00:00"/>
    <d v="2017-10-04T00:00:00"/>
    <x v="379"/>
    <m/>
    <n v="12424.2"/>
    <x v="781"/>
    <x v="5"/>
  </r>
  <r>
    <x v="6"/>
    <s v="Emitida"/>
    <d v="2017-10-04T00:00:00"/>
    <d v="2017-10-04T00:00:00"/>
    <x v="379"/>
    <m/>
    <n v="4606"/>
    <x v="782"/>
    <x v="5"/>
  </r>
  <r>
    <x v="6"/>
    <s v="Emitida"/>
    <d v="2017-10-04T00:00:00"/>
    <d v="2017-10-04T00:00:00"/>
    <x v="379"/>
    <m/>
    <n v="7850.22"/>
    <x v="783"/>
    <x v="5"/>
  </r>
  <r>
    <x v="17"/>
    <s v="Emitida"/>
    <d v="2017-09-29T00:00:00"/>
    <d v="2017-09-29T00:00:00"/>
    <x v="396"/>
    <m/>
    <n v="350"/>
    <x v="549"/>
    <x v="6"/>
  </r>
  <r>
    <x v="14"/>
    <s v="Emitida"/>
    <d v="2017-09-28T00:00:00"/>
    <d v="2017-09-28T00:00:00"/>
    <x v="397"/>
    <m/>
    <n v="24170.6"/>
    <x v="784"/>
    <x v="5"/>
  </r>
  <r>
    <x v="26"/>
    <s v="Emitida"/>
    <d v="2017-09-27T00:00:00"/>
    <d v="2017-09-27T00:00:00"/>
    <x v="397"/>
    <m/>
    <n v="7420.74"/>
    <x v="785"/>
    <x v="5"/>
  </r>
  <r>
    <x v="14"/>
    <s v="Emitida"/>
    <d v="2017-09-27T00:00:00"/>
    <d v="2017-09-27T00:00:00"/>
    <x v="398"/>
    <m/>
    <n v="2608"/>
    <x v="722"/>
    <x v="5"/>
  </r>
  <r>
    <x v="5"/>
    <s v="Emitida"/>
    <d v="2017-09-27T00:00:00"/>
    <d v="2017-09-27T00:00:00"/>
    <x v="388"/>
    <m/>
    <n v="34817.199999999997"/>
    <x v="786"/>
    <x v="5"/>
  </r>
  <r>
    <x v="14"/>
    <s v="Cancela"/>
    <d v="2017-09-26T00:00:00"/>
    <d v="2017-09-26T00:00:00"/>
    <x v="399"/>
    <d v="2017-09-27T00:00:00"/>
    <n v="2608"/>
    <x v="722"/>
    <x v="2"/>
  </r>
  <r>
    <x v="6"/>
    <s v="Emitida"/>
    <d v="2017-09-25T00:00:00"/>
    <d v="2017-09-25T00:00:00"/>
    <x v="391"/>
    <m/>
    <n v="12206"/>
    <x v="787"/>
    <x v="5"/>
  </r>
  <r>
    <x v="13"/>
    <s v="Emitida"/>
    <d v="2017-09-25T00:00:00"/>
    <d v="2017-09-25T00:00:00"/>
    <x v="391"/>
    <m/>
    <n v="18776"/>
    <x v="788"/>
    <x v="5"/>
  </r>
  <r>
    <x v="39"/>
    <s v="Emitida"/>
    <d v="2017-09-25T00:00:00"/>
    <d v="2017-09-25T00:00:00"/>
    <x v="399"/>
    <m/>
    <n v="4572"/>
    <x v="789"/>
    <x v="5"/>
  </r>
  <r>
    <x v="6"/>
    <s v="Cancela"/>
    <d v="2017-09-22T00:00:00"/>
    <d v="2017-09-22T00:00:00"/>
    <x v="400"/>
    <d v="2017-09-25T00:00:00"/>
    <n v="6856"/>
    <x v="790"/>
    <x v="2"/>
  </r>
  <r>
    <x v="39"/>
    <s v="Emitida"/>
    <d v="2017-09-21T00:00:00"/>
    <d v="2017-09-21T00:00:00"/>
    <x v="401"/>
    <m/>
    <n v="1143"/>
    <x v="791"/>
    <x v="7"/>
  </r>
  <r>
    <x v="39"/>
    <s v="Emitida"/>
    <d v="2017-09-21T00:00:00"/>
    <d v="2017-09-21T00:00:00"/>
    <x v="401"/>
    <m/>
    <n v="1905"/>
    <x v="792"/>
    <x v="7"/>
  </r>
  <r>
    <x v="2"/>
    <s v="Emitida"/>
    <d v="2017-09-20T00:00:00"/>
    <d v="2017-09-20T00:00:00"/>
    <x v="402"/>
    <m/>
    <n v="5114"/>
    <x v="793"/>
    <x v="5"/>
  </r>
  <r>
    <x v="26"/>
    <s v="Emitida"/>
    <d v="2017-09-20T00:00:00"/>
    <d v="2017-09-20T00:00:00"/>
    <x v="403"/>
    <m/>
    <n v="17425"/>
    <x v="794"/>
    <x v="5"/>
  </r>
  <r>
    <x v="8"/>
    <s v="Emitida"/>
    <d v="2017-09-19T00:00:00"/>
    <d v="2017-09-19T00:00:00"/>
    <x v="379"/>
    <m/>
    <n v="14814.6"/>
    <x v="795"/>
    <x v="5"/>
  </r>
  <r>
    <x v="6"/>
    <s v="Emitida"/>
    <d v="2017-09-19T00:00:00"/>
    <d v="2017-09-18T00:00:00"/>
    <x v="404"/>
    <m/>
    <n v="9839.2199999999993"/>
    <x v="796"/>
    <x v="5"/>
  </r>
  <r>
    <x v="6"/>
    <s v="Emitida"/>
    <d v="2017-09-19T00:00:00"/>
    <d v="2017-09-18T00:00:00"/>
    <x v="404"/>
    <m/>
    <n v="11040.2"/>
    <x v="797"/>
    <x v="5"/>
  </r>
  <r>
    <x v="6"/>
    <s v="Emitida"/>
    <d v="2017-09-19T00:00:00"/>
    <d v="2017-09-18T00:00:00"/>
    <x v="404"/>
    <m/>
    <n v="5738"/>
    <x v="798"/>
    <x v="5"/>
  </r>
  <r>
    <x v="26"/>
    <s v="Emitida"/>
    <d v="2017-09-19T00:00:00"/>
    <d v="2017-09-19T00:00:00"/>
    <x v="405"/>
    <m/>
    <n v="85822.3"/>
    <x v="799"/>
    <x v="5"/>
  </r>
  <r>
    <x v="26"/>
    <s v="Emitida"/>
    <d v="2017-09-19T00:00:00"/>
    <d v="2017-09-19T00:00:00"/>
    <x v="405"/>
    <m/>
    <n v="1061.4000000000001"/>
    <x v="800"/>
    <x v="5"/>
  </r>
  <r>
    <x v="26"/>
    <s v="Cancela"/>
    <d v="2017-09-19T00:00:00"/>
    <d v="2017-09-19T00:00:00"/>
    <x v="405"/>
    <d v="2017-09-19T00:00:00"/>
    <n v="86512.2"/>
    <x v="801"/>
    <x v="2"/>
  </r>
  <r>
    <x v="8"/>
    <s v="Emitida"/>
    <d v="2017-09-19T00:00:00"/>
    <d v="2017-09-19T00:00:00"/>
    <x v="379"/>
    <m/>
    <n v="5320"/>
    <x v="802"/>
    <x v="5"/>
  </r>
  <r>
    <x v="10"/>
    <s v="Emitida"/>
    <d v="2017-09-18T00:00:00"/>
    <d v="2017-09-18T00:00:00"/>
    <x v="375"/>
    <m/>
    <n v="800"/>
    <x v="34"/>
    <x v="5"/>
  </r>
  <r>
    <x v="6"/>
    <s v="Emitida"/>
    <d v="2017-09-18T00:00:00"/>
    <d v="2017-09-18T00:00:00"/>
    <x v="390"/>
    <m/>
    <n v="4628"/>
    <x v="803"/>
    <x v="5"/>
  </r>
  <r>
    <x v="6"/>
    <s v="Emitida"/>
    <d v="2017-09-18T00:00:00"/>
    <d v="2017-09-18T00:00:00"/>
    <x v="390"/>
    <m/>
    <n v="16892"/>
    <x v="729"/>
    <x v="5"/>
  </r>
  <r>
    <x v="26"/>
    <s v="Emitida"/>
    <d v="2017-09-14T00:00:00"/>
    <d v="2017-09-14T00:00:00"/>
    <x v="406"/>
    <m/>
    <n v="533.4"/>
    <x v="804"/>
    <x v="5"/>
  </r>
  <r>
    <x v="26"/>
    <s v="Emitida"/>
    <d v="2017-09-14T00:00:00"/>
    <d v="2017-09-14T00:00:00"/>
    <x v="406"/>
    <m/>
    <n v="32165.4"/>
    <x v="805"/>
    <x v="5"/>
  </r>
  <r>
    <x v="26"/>
    <s v="Emitida"/>
    <d v="2017-09-12T00:00:00"/>
    <d v="2017-09-12T00:00:00"/>
    <x v="407"/>
    <m/>
    <n v="29683.9"/>
    <x v="806"/>
    <x v="5"/>
  </r>
  <r>
    <x v="6"/>
    <s v="Emitida"/>
    <d v="2017-09-11T00:00:00"/>
    <d v="2017-09-11T00:00:00"/>
    <x v="408"/>
    <m/>
    <n v="10570"/>
    <x v="807"/>
    <x v="5"/>
  </r>
  <r>
    <x v="8"/>
    <s v="Emitida"/>
    <d v="2017-09-07T00:00:00"/>
    <d v="2017-09-07T00:00:00"/>
    <x v="400"/>
    <m/>
    <n v="12644"/>
    <x v="808"/>
    <x v="5"/>
  </r>
  <r>
    <x v="26"/>
    <s v="Emitida"/>
    <d v="2017-09-07T00:00:00"/>
    <d v="2017-09-07T00:00:00"/>
    <x v="409"/>
    <m/>
    <n v="17644.400000000001"/>
    <x v="809"/>
    <x v="5"/>
  </r>
  <r>
    <x v="26"/>
    <s v="Emitida"/>
    <d v="2017-09-06T00:00:00"/>
    <d v="2017-09-06T00:00:00"/>
    <x v="410"/>
    <m/>
    <n v="26336.799999999999"/>
    <x v="810"/>
    <x v="5"/>
  </r>
  <r>
    <x v="6"/>
    <s v="Emitida"/>
    <d v="2017-09-06T00:00:00"/>
    <d v="2017-09-04T00:00:00"/>
    <x v="411"/>
    <m/>
    <n v="5692"/>
    <x v="811"/>
    <x v="5"/>
  </r>
  <r>
    <x v="6"/>
    <s v="Emitida"/>
    <d v="2017-09-06T00:00:00"/>
    <d v="2017-09-04T00:00:00"/>
    <x v="411"/>
    <m/>
    <n v="4726.22"/>
    <x v="812"/>
    <x v="5"/>
  </r>
  <r>
    <x v="6"/>
    <s v="Emitida"/>
    <d v="2017-09-06T00:00:00"/>
    <d v="2017-09-04T00:00:00"/>
    <x v="411"/>
    <m/>
    <n v="4676"/>
    <x v="813"/>
    <x v="5"/>
  </r>
  <r>
    <x v="2"/>
    <s v="Emitida"/>
    <d v="2017-09-05T00:00:00"/>
    <d v="2017-09-05T00:00:00"/>
    <x v="397"/>
    <m/>
    <n v="36959"/>
    <x v="814"/>
    <x v="5"/>
  </r>
  <r>
    <x v="26"/>
    <s v="Emitida"/>
    <d v="2017-09-04T00:00:00"/>
    <d v="2017-09-04T00:00:00"/>
    <x v="412"/>
    <m/>
    <n v="15227.5"/>
    <x v="815"/>
    <x v="5"/>
  </r>
  <r>
    <x v="13"/>
    <s v="Emitida"/>
    <d v="2017-09-01T00:00:00"/>
    <d v="2017-09-01T00:00:00"/>
    <x v="413"/>
    <m/>
    <n v="7666"/>
    <x v="816"/>
    <x v="5"/>
  </r>
  <r>
    <x v="10"/>
    <s v="Emitida"/>
    <d v="2017-09-01T00:00:00"/>
    <d v="2017-09-01T00:00:00"/>
    <x v="414"/>
    <m/>
    <n v="600"/>
    <x v="817"/>
    <x v="5"/>
  </r>
  <r>
    <x v="26"/>
    <s v="Emitida"/>
    <d v="2017-08-31T00:00:00"/>
    <d v="2017-08-31T00:00:00"/>
    <x v="415"/>
    <m/>
    <n v="2717.76"/>
    <x v="818"/>
    <x v="5"/>
  </r>
  <r>
    <x v="26"/>
    <s v="Emitida"/>
    <d v="2017-08-31T00:00:00"/>
    <d v="2017-08-31T00:00:00"/>
    <x v="415"/>
    <m/>
    <n v="32200.400000000001"/>
    <x v="819"/>
    <x v="5"/>
  </r>
  <r>
    <x v="6"/>
    <s v="Emitida"/>
    <d v="2017-08-31T00:00:00"/>
    <d v="2017-08-24T00:00:00"/>
    <x v="416"/>
    <m/>
    <n v="27723"/>
    <x v="820"/>
    <x v="5"/>
  </r>
  <r>
    <x v="13"/>
    <s v="Emitida"/>
    <d v="2017-08-31T00:00:00"/>
    <d v="2017-08-31T00:00:00"/>
    <x v="416"/>
    <m/>
    <n v="17198"/>
    <x v="821"/>
    <x v="5"/>
  </r>
  <r>
    <x v="25"/>
    <s v="Emitida"/>
    <d v="2017-08-30T00:00:00"/>
    <d v="2017-08-30T00:00:00"/>
    <x v="410"/>
    <m/>
    <n v="19800"/>
    <x v="822"/>
    <x v="5"/>
  </r>
  <r>
    <x v="8"/>
    <s v="Emitida"/>
    <d v="2017-08-28T00:00:00"/>
    <d v="2017-08-28T00:00:00"/>
    <x v="417"/>
    <m/>
    <n v="40490"/>
    <x v="823"/>
    <x v="5"/>
  </r>
  <r>
    <x v="26"/>
    <s v="Emitida"/>
    <d v="2017-08-25T00:00:00"/>
    <d v="2017-08-25T00:00:00"/>
    <x v="418"/>
    <m/>
    <n v="22257.200000000001"/>
    <x v="824"/>
    <x v="5"/>
  </r>
  <r>
    <x v="26"/>
    <s v="Emitida"/>
    <d v="2017-08-24T00:00:00"/>
    <d v="2017-08-24T00:00:00"/>
    <x v="419"/>
    <m/>
    <n v="2594.5500000000002"/>
    <x v="825"/>
    <x v="5"/>
  </r>
  <r>
    <x v="6"/>
    <s v="Emitida"/>
    <d v="2017-08-23T00:00:00"/>
    <d v="2017-08-23T00:00:00"/>
    <x v="406"/>
    <m/>
    <n v="22037"/>
    <x v="826"/>
    <x v="5"/>
  </r>
  <r>
    <x v="6"/>
    <s v="Emitida"/>
    <d v="2017-08-23T00:00:00"/>
    <d v="2017-08-23T00:00:00"/>
    <x v="406"/>
    <m/>
    <n v="4676"/>
    <x v="813"/>
    <x v="5"/>
  </r>
  <r>
    <x v="6"/>
    <s v="Emitida"/>
    <d v="2017-08-23T00:00:00"/>
    <d v="2017-08-23T00:00:00"/>
    <x v="406"/>
    <m/>
    <n v="5692"/>
    <x v="811"/>
    <x v="5"/>
  </r>
  <r>
    <x v="6"/>
    <s v="Emitida"/>
    <d v="2017-08-22T00:00:00"/>
    <d v="2017-08-22T00:00:00"/>
    <x v="420"/>
    <m/>
    <n v="27000"/>
    <x v="827"/>
    <x v="5"/>
  </r>
  <r>
    <x v="6"/>
    <s v="Cancela"/>
    <d v="2017-08-22T00:00:00"/>
    <d v="2017-08-22T00:00:00"/>
    <x v="420"/>
    <d v="2017-08-23T00:00:00"/>
    <n v="22655"/>
    <x v="828"/>
    <x v="2"/>
  </r>
  <r>
    <x v="26"/>
    <s v="Emitida"/>
    <d v="2017-08-16T00:00:00"/>
    <d v="2017-08-16T00:00:00"/>
    <x v="421"/>
    <m/>
    <n v="1915.97"/>
    <x v="829"/>
    <x v="5"/>
  </r>
  <r>
    <x v="6"/>
    <s v="Emitida"/>
    <d v="2017-08-16T00:00:00"/>
    <d v="2017-08-16T00:00:00"/>
    <x v="409"/>
    <m/>
    <n v="4500"/>
    <x v="830"/>
    <x v="5"/>
  </r>
  <r>
    <x v="6"/>
    <s v="Emitida"/>
    <d v="2017-08-16T00:00:00"/>
    <d v="2017-08-16T00:00:00"/>
    <x v="409"/>
    <m/>
    <n v="6265"/>
    <x v="831"/>
    <x v="5"/>
  </r>
  <r>
    <x v="6"/>
    <s v="Emitida"/>
    <d v="2017-08-16T00:00:00"/>
    <d v="2017-08-16T00:00:00"/>
    <x v="409"/>
    <m/>
    <n v="5516"/>
    <x v="832"/>
    <x v="5"/>
  </r>
  <r>
    <x v="26"/>
    <s v="Emitida"/>
    <d v="2017-08-15T00:00:00"/>
    <d v="2017-08-15T00:00:00"/>
    <x v="422"/>
    <m/>
    <n v="17513.3"/>
    <x v="833"/>
    <x v="5"/>
  </r>
  <r>
    <x v="26"/>
    <s v="Emitida"/>
    <d v="2017-08-15T00:00:00"/>
    <d v="2017-08-15T00:00:00"/>
    <x v="422"/>
    <m/>
    <n v="12031.6"/>
    <x v="834"/>
    <x v="5"/>
  </r>
  <r>
    <x v="11"/>
    <s v="Emitida"/>
    <d v="2017-08-14T00:00:00"/>
    <d v="2017-08-14T00:00:00"/>
    <x v="395"/>
    <m/>
    <n v="1636"/>
    <x v="120"/>
    <x v="5"/>
  </r>
  <r>
    <x v="11"/>
    <s v="Emitida"/>
    <d v="2017-08-14T00:00:00"/>
    <d v="2017-08-14T00:00:00"/>
    <x v="395"/>
    <m/>
    <n v="1900"/>
    <x v="103"/>
    <x v="5"/>
  </r>
  <r>
    <x v="11"/>
    <s v="Emitida"/>
    <d v="2017-08-14T00:00:00"/>
    <d v="2017-08-14T00:00:00"/>
    <x v="395"/>
    <m/>
    <n v="2280"/>
    <x v="835"/>
    <x v="5"/>
  </r>
  <r>
    <x v="14"/>
    <s v="Emitida"/>
    <d v="2017-08-14T00:00:00"/>
    <d v="2017-08-14T00:00:00"/>
    <x v="423"/>
    <m/>
    <n v="422"/>
    <x v="836"/>
    <x v="5"/>
  </r>
  <r>
    <x v="28"/>
    <s v="Emitida"/>
    <d v="2017-08-14T00:00:00"/>
    <d v="2017-08-14T00:00:00"/>
    <x v="424"/>
    <m/>
    <n v="3270"/>
    <x v="837"/>
    <x v="5"/>
  </r>
  <r>
    <x v="14"/>
    <s v="Cancela"/>
    <d v="2017-08-14T00:00:00"/>
    <d v="2017-08-14T00:00:00"/>
    <x v="423"/>
    <d v="2017-08-14T00:00:00"/>
    <n v="2110"/>
    <x v="838"/>
    <x v="2"/>
  </r>
  <r>
    <x v="28"/>
    <s v="Emitida"/>
    <d v="2017-08-11T00:00:00"/>
    <d v="2017-08-10T00:00:00"/>
    <x v="425"/>
    <m/>
    <n v="1085"/>
    <x v="839"/>
    <x v="5"/>
  </r>
  <r>
    <x v="13"/>
    <s v="Emitida"/>
    <d v="2017-08-09T00:00:00"/>
    <d v="2017-08-09T00:00:00"/>
    <x v="415"/>
    <m/>
    <n v="15045"/>
    <x v="840"/>
    <x v="5"/>
  </r>
  <r>
    <x v="26"/>
    <s v="Emitida"/>
    <d v="2017-08-08T00:00:00"/>
    <d v="2017-08-08T00:00:00"/>
    <x v="424"/>
    <m/>
    <n v="5192.3500000000004"/>
    <x v="841"/>
    <x v="5"/>
  </r>
  <r>
    <x v="6"/>
    <s v="Emitida"/>
    <d v="2017-08-08T00:00:00"/>
    <d v="2017-08-08T00:00:00"/>
    <x v="426"/>
    <m/>
    <n v="8232"/>
    <x v="842"/>
    <x v="5"/>
  </r>
  <r>
    <x v="6"/>
    <s v="Emitida"/>
    <d v="2017-08-08T00:00:00"/>
    <d v="2017-08-08T00:00:00"/>
    <x v="426"/>
    <m/>
    <n v="29480"/>
    <x v="106"/>
    <x v="5"/>
  </r>
  <r>
    <x v="10"/>
    <s v="Emitida"/>
    <d v="2017-08-07T00:00:00"/>
    <d v="2017-08-07T00:00:00"/>
    <x v="411"/>
    <m/>
    <n v="1107.94"/>
    <x v="843"/>
    <x v="5"/>
  </r>
  <r>
    <x v="2"/>
    <s v="Emitida"/>
    <d v="2017-08-04T00:00:00"/>
    <d v="2017-08-04T00:00:00"/>
    <x v="427"/>
    <m/>
    <n v="175"/>
    <x v="844"/>
    <x v="5"/>
  </r>
  <r>
    <x v="22"/>
    <s v="Emitida"/>
    <d v="2017-08-04T00:00:00"/>
    <d v="2017-08-04T00:00:00"/>
    <x v="428"/>
    <m/>
    <n v="4280"/>
    <x v="845"/>
    <x v="5"/>
  </r>
  <r>
    <x v="26"/>
    <s v="Emitida"/>
    <d v="2017-08-03T00:00:00"/>
    <d v="2017-08-03T00:00:00"/>
    <x v="429"/>
    <m/>
    <n v="91902.2"/>
    <x v="846"/>
    <x v="5"/>
  </r>
  <r>
    <x v="26"/>
    <s v="Emitida"/>
    <d v="2017-08-03T00:00:00"/>
    <d v="2017-08-03T00:00:00"/>
    <x v="429"/>
    <m/>
    <n v="76599.5"/>
    <x v="847"/>
    <x v="5"/>
  </r>
  <r>
    <x v="6"/>
    <s v="Emitida"/>
    <d v="2017-08-03T00:00:00"/>
    <d v="2017-08-03T00:00:00"/>
    <x v="418"/>
    <m/>
    <n v="16892"/>
    <x v="729"/>
    <x v="5"/>
  </r>
  <r>
    <x v="6"/>
    <s v="Emitida"/>
    <d v="2017-08-03T00:00:00"/>
    <d v="2017-08-03T00:00:00"/>
    <x v="418"/>
    <m/>
    <n v="59704"/>
    <x v="848"/>
    <x v="5"/>
  </r>
  <r>
    <x v="10"/>
    <s v="Emitida"/>
    <d v="2017-08-03T00:00:00"/>
    <d v="2017-08-03T00:00:00"/>
    <x v="430"/>
    <m/>
    <n v="935.92"/>
    <x v="849"/>
    <x v="5"/>
  </r>
  <r>
    <x v="6"/>
    <s v="Emitida"/>
    <d v="2017-08-02T00:00:00"/>
    <d v="2017-08-02T00:00:00"/>
    <x v="419"/>
    <m/>
    <n v="29480"/>
    <x v="106"/>
    <x v="5"/>
  </r>
  <r>
    <x v="14"/>
    <s v="Emitida"/>
    <d v="2017-08-02T00:00:00"/>
    <d v="2017-08-02T00:00:00"/>
    <x v="431"/>
    <m/>
    <n v="76103.199999999997"/>
    <x v="850"/>
    <x v="5"/>
  </r>
  <r>
    <x v="14"/>
    <s v="Emitida"/>
    <d v="2017-08-02T00:00:00"/>
    <d v="2017-08-02T00:00:00"/>
    <x v="431"/>
    <m/>
    <n v="198654"/>
    <x v="851"/>
    <x v="5"/>
  </r>
  <r>
    <x v="25"/>
    <s v="Emitida"/>
    <d v="2017-08-01T00:00:00"/>
    <d v="2017-08-01T00:00:00"/>
    <x v="424"/>
    <m/>
    <n v="41860"/>
    <x v="852"/>
    <x v="5"/>
  </r>
  <r>
    <x v="6"/>
    <s v="Emitida"/>
    <d v="2017-08-01T00:00:00"/>
    <d v="2017-08-01T00:00:00"/>
    <x v="432"/>
    <m/>
    <n v="8330"/>
    <x v="853"/>
    <x v="5"/>
  </r>
  <r>
    <x v="26"/>
    <s v="Emitida"/>
    <d v="2017-07-31T00:00:00"/>
    <d v="2017-07-31T00:00:00"/>
    <x v="433"/>
    <m/>
    <n v="62576.7"/>
    <x v="854"/>
    <x v="5"/>
  </r>
  <r>
    <x v="6"/>
    <s v="Emitida"/>
    <d v="2017-07-28T00:00:00"/>
    <d v="2017-07-28T00:00:00"/>
    <x v="434"/>
    <m/>
    <n v="16892"/>
    <x v="729"/>
    <x v="5"/>
  </r>
  <r>
    <x v="24"/>
    <s v="Emitida"/>
    <d v="2017-07-28T00:00:00"/>
    <d v="2017-07-14T00:00:00"/>
    <x v="435"/>
    <m/>
    <n v="8639.9599999999991"/>
    <x v="855"/>
    <x v="5"/>
  </r>
  <r>
    <x v="6"/>
    <s v="Emitida"/>
    <d v="2017-07-28T00:00:00"/>
    <d v="2017-07-28T00:00:00"/>
    <x v="434"/>
    <m/>
    <n v="1964"/>
    <x v="856"/>
    <x v="5"/>
  </r>
  <r>
    <x v="25"/>
    <s v="Emitida"/>
    <d v="2017-07-28T00:00:00"/>
    <d v="2017-07-28T00:00:00"/>
    <x v="436"/>
    <m/>
    <n v="4560"/>
    <x v="857"/>
    <x v="5"/>
  </r>
  <r>
    <x v="25"/>
    <s v="Emitida"/>
    <d v="2017-07-26T00:00:00"/>
    <d v="2017-07-26T00:00:00"/>
    <x v="437"/>
    <m/>
    <n v="18650"/>
    <x v="858"/>
    <x v="5"/>
  </r>
  <r>
    <x v="6"/>
    <s v="Emitida"/>
    <d v="2017-07-25T00:00:00"/>
    <d v="2017-07-25T00:00:00"/>
    <x v="421"/>
    <m/>
    <n v="41712"/>
    <x v="859"/>
    <x v="5"/>
  </r>
  <r>
    <x v="14"/>
    <s v="Emitida"/>
    <d v="2017-07-25T00:00:00"/>
    <d v="2017-07-25T00:00:00"/>
    <x v="438"/>
    <m/>
    <n v="73225.2"/>
    <x v="860"/>
    <x v="5"/>
  </r>
  <r>
    <x v="14"/>
    <s v="Emitida"/>
    <d v="2017-07-25T00:00:00"/>
    <d v="2017-07-25T00:00:00"/>
    <x v="438"/>
    <m/>
    <n v="87273.2"/>
    <x v="861"/>
    <x v="5"/>
  </r>
  <r>
    <x v="14"/>
    <s v="Cancela"/>
    <d v="2017-07-25T00:00:00"/>
    <d v="2017-07-25T00:00:00"/>
    <x v="438"/>
    <d v="2017-07-25T00:00:00"/>
    <n v="4970"/>
    <x v="862"/>
    <x v="2"/>
  </r>
  <r>
    <x v="2"/>
    <s v="Emitida"/>
    <d v="2017-07-25T00:00:00"/>
    <d v="2017-07-25T00:00:00"/>
    <x v="421"/>
    <m/>
    <n v="2247"/>
    <x v="694"/>
    <x v="5"/>
  </r>
  <r>
    <x v="26"/>
    <s v="Emitida"/>
    <d v="2017-07-24T00:00:00"/>
    <d v="2017-07-24T00:00:00"/>
    <x v="438"/>
    <m/>
    <n v="76.959999999999994"/>
    <x v="863"/>
    <x v="5"/>
  </r>
  <r>
    <x v="14"/>
    <s v="Emitida"/>
    <d v="2017-07-21T00:00:00"/>
    <d v="2017-07-21T00:00:00"/>
    <x v="439"/>
    <m/>
    <n v="6094.2"/>
    <x v="864"/>
    <x v="5"/>
  </r>
  <r>
    <x v="26"/>
    <s v="Emitida"/>
    <d v="2017-07-21T00:00:00"/>
    <d v="2017-07-21T00:00:00"/>
    <x v="440"/>
    <m/>
    <n v="692.6"/>
    <x v="865"/>
    <x v="5"/>
  </r>
  <r>
    <x v="26"/>
    <s v="Emitida"/>
    <d v="2017-07-20T00:00:00"/>
    <d v="2017-07-20T00:00:00"/>
    <x v="439"/>
    <m/>
    <n v="13151.5"/>
    <x v="866"/>
    <x v="5"/>
  </r>
  <r>
    <x v="2"/>
    <s v="Emitida"/>
    <d v="2017-07-19T00:00:00"/>
    <d v="2017-07-19T00:00:00"/>
    <x v="441"/>
    <m/>
    <n v="11320"/>
    <x v="375"/>
    <x v="5"/>
  </r>
  <r>
    <x v="26"/>
    <s v="Emitida"/>
    <d v="2017-07-19T00:00:00"/>
    <d v="2017-07-19T00:00:00"/>
    <x v="442"/>
    <m/>
    <n v="29307.200000000001"/>
    <x v="867"/>
    <x v="5"/>
  </r>
  <r>
    <x v="14"/>
    <s v="Emitida"/>
    <d v="2017-07-19T00:00:00"/>
    <d v="2017-07-19T00:00:00"/>
    <x v="443"/>
    <m/>
    <n v="274599"/>
    <x v="868"/>
    <x v="5"/>
  </r>
  <r>
    <x v="14"/>
    <s v="Emitida"/>
    <d v="2017-07-19T00:00:00"/>
    <d v="2017-07-19T00:00:00"/>
    <x v="443"/>
    <m/>
    <n v="256580"/>
    <x v="869"/>
    <x v="5"/>
  </r>
  <r>
    <x v="26"/>
    <s v="Emitida"/>
    <d v="2017-07-19T00:00:00"/>
    <d v="2017-07-19T00:00:00"/>
    <x v="442"/>
    <m/>
    <n v="58806.6"/>
    <x v="870"/>
    <x v="5"/>
  </r>
  <r>
    <x v="14"/>
    <s v="Emitida"/>
    <d v="2017-07-17T00:00:00"/>
    <d v="2017-07-17T00:00:00"/>
    <x v="444"/>
    <m/>
    <n v="11613"/>
    <x v="871"/>
    <x v="5"/>
  </r>
  <r>
    <x v="41"/>
    <s v="Emitida"/>
    <d v="2017-07-17T00:00:00"/>
    <d v="2017-07-17T00:00:00"/>
    <x v="438"/>
    <m/>
    <n v="2950"/>
    <x v="872"/>
    <x v="5"/>
  </r>
  <r>
    <x v="8"/>
    <s v="Emitida"/>
    <d v="2017-07-14T00:00:00"/>
    <d v="2017-07-14T00:00:00"/>
    <x v="445"/>
    <m/>
    <n v="58070"/>
    <x v="873"/>
    <x v="5"/>
  </r>
  <r>
    <x v="13"/>
    <s v="Emitida"/>
    <d v="2017-07-14T00:00:00"/>
    <d v="2017-07-14T00:00:00"/>
    <x v="425"/>
    <m/>
    <n v="3395"/>
    <x v="874"/>
    <x v="5"/>
  </r>
  <r>
    <x v="2"/>
    <s v="Emitida"/>
    <d v="2017-07-14T00:00:00"/>
    <d v="2017-07-14T00:00:00"/>
    <x v="425"/>
    <m/>
    <n v="17689"/>
    <x v="875"/>
    <x v="5"/>
  </r>
  <r>
    <x v="6"/>
    <s v="Emitida"/>
    <d v="2017-07-14T00:00:00"/>
    <d v="2017-07-14T00:00:00"/>
    <x v="425"/>
    <m/>
    <n v="22577"/>
    <x v="632"/>
    <x v="5"/>
  </r>
  <r>
    <x v="6"/>
    <s v="Emitida"/>
    <d v="2017-07-14T00:00:00"/>
    <d v="2017-07-14T00:00:00"/>
    <x v="425"/>
    <m/>
    <n v="3190"/>
    <x v="876"/>
    <x v="5"/>
  </r>
  <r>
    <x v="2"/>
    <s v="Emitida"/>
    <d v="2017-07-12T00:00:00"/>
    <d v="2017-07-12T00:00:00"/>
    <x v="429"/>
    <m/>
    <n v="2460"/>
    <x v="877"/>
    <x v="5"/>
  </r>
  <r>
    <x v="2"/>
    <s v="Emitida"/>
    <d v="2017-07-12T00:00:00"/>
    <d v="2017-07-12T00:00:00"/>
    <x v="429"/>
    <m/>
    <n v="2755"/>
    <x v="878"/>
    <x v="5"/>
  </r>
  <r>
    <x v="36"/>
    <s v="Emitida"/>
    <d v="2017-07-11T00:00:00"/>
    <d v="2017-07-10T00:00:00"/>
    <x v="446"/>
    <m/>
    <n v="1442"/>
    <x v="879"/>
    <x v="8"/>
  </r>
  <r>
    <x v="26"/>
    <s v="Emitida"/>
    <d v="2017-07-10T00:00:00"/>
    <d v="2017-07-10T00:00:00"/>
    <x v="446"/>
    <m/>
    <n v="45804.5"/>
    <x v="880"/>
    <x v="5"/>
  </r>
  <r>
    <x v="14"/>
    <s v="Emitida"/>
    <d v="2017-07-10T00:00:00"/>
    <d v="2017-07-10T00:00:00"/>
    <x v="447"/>
    <m/>
    <n v="699"/>
    <x v="881"/>
    <x v="5"/>
  </r>
  <r>
    <x v="38"/>
    <s v="Emitida"/>
    <d v="2017-07-07T00:00:00"/>
    <d v="2017-07-07T00:00:00"/>
    <x v="448"/>
    <m/>
    <n v="1211.76"/>
    <x v="882"/>
    <x v="5"/>
  </r>
  <r>
    <x v="42"/>
    <s v="Emitida"/>
    <d v="2017-07-06T00:00:00"/>
    <d v="2017-07-06T00:00:00"/>
    <x v="435"/>
    <m/>
    <n v="14928"/>
    <x v="883"/>
    <x v="5"/>
  </r>
  <r>
    <x v="26"/>
    <s v="Emitida"/>
    <d v="2017-07-06T00:00:00"/>
    <d v="2017-07-06T00:00:00"/>
    <x v="449"/>
    <m/>
    <n v="8413.1299999999992"/>
    <x v="884"/>
    <x v="5"/>
  </r>
  <r>
    <x v="26"/>
    <s v="Emitida"/>
    <d v="2017-07-06T00:00:00"/>
    <d v="2017-07-06T00:00:00"/>
    <x v="449"/>
    <m/>
    <n v="43245.3"/>
    <x v="885"/>
    <x v="5"/>
  </r>
  <r>
    <x v="26"/>
    <s v="Emitida"/>
    <d v="2017-07-06T00:00:00"/>
    <d v="2017-07-06T00:00:00"/>
    <x v="449"/>
    <m/>
    <n v="48727.9"/>
    <x v="886"/>
    <x v="5"/>
  </r>
  <r>
    <x v="26"/>
    <s v="Emitida"/>
    <d v="2017-07-06T00:00:00"/>
    <d v="2017-07-06T00:00:00"/>
    <x v="449"/>
    <m/>
    <n v="53570.2"/>
    <x v="887"/>
    <x v="5"/>
  </r>
  <r>
    <x v="8"/>
    <s v="Emitida"/>
    <d v="2017-07-05T00:00:00"/>
    <d v="2017-07-05T00:00:00"/>
    <x v="428"/>
    <m/>
    <n v="28200"/>
    <x v="888"/>
    <x v="5"/>
  </r>
  <r>
    <x v="26"/>
    <s v="Emitida"/>
    <d v="2017-06-28T00:00:00"/>
    <d v="2017-06-28T00:00:00"/>
    <x v="450"/>
    <m/>
    <n v="48534.9"/>
    <x v="889"/>
    <x v="5"/>
  </r>
  <r>
    <x v="6"/>
    <s v="Emitida"/>
    <d v="2017-06-28T00:00:00"/>
    <d v="2017-06-28T00:00:00"/>
    <x v="439"/>
    <m/>
    <n v="3040"/>
    <x v="890"/>
    <x v="5"/>
  </r>
  <r>
    <x v="26"/>
    <s v="Emitida"/>
    <d v="2017-06-27T00:00:00"/>
    <d v="2017-06-27T00:00:00"/>
    <x v="451"/>
    <m/>
    <n v="2415.06"/>
    <x v="891"/>
    <x v="5"/>
  </r>
  <r>
    <x v="26"/>
    <s v="Cancela"/>
    <d v="2017-06-27T00:00:00"/>
    <d v="2017-06-27T00:00:00"/>
    <x v="451"/>
    <d v="2017-06-27T00:00:00"/>
    <n v="2415.06"/>
    <x v="891"/>
    <x v="2"/>
  </r>
  <r>
    <x v="26"/>
    <s v="Emitida"/>
    <d v="2017-06-27T00:00:00"/>
    <d v="2017-06-27T00:00:00"/>
    <x v="451"/>
    <m/>
    <n v="20070.5"/>
    <x v="892"/>
    <x v="5"/>
  </r>
  <r>
    <x v="26"/>
    <s v="Emitida"/>
    <d v="2017-06-26T00:00:00"/>
    <d v="2017-06-26T00:00:00"/>
    <x v="452"/>
    <m/>
    <n v="14439.6"/>
    <x v="893"/>
    <x v="5"/>
  </r>
  <r>
    <x v="13"/>
    <s v="Emitida"/>
    <d v="2017-06-26T00:00:00"/>
    <d v="2017-06-26T00:00:00"/>
    <x v="443"/>
    <m/>
    <n v="12492"/>
    <x v="894"/>
    <x v="5"/>
  </r>
  <r>
    <x v="41"/>
    <s v="Emitida"/>
    <d v="2017-06-26T00:00:00"/>
    <d v="2017-06-26T00:00:00"/>
    <x v="453"/>
    <m/>
    <n v="2950"/>
    <x v="872"/>
    <x v="5"/>
  </r>
  <r>
    <x v="41"/>
    <s v="Cancela"/>
    <d v="2017-06-23T00:00:00"/>
    <d v="2017-06-23T00:00:00"/>
    <x v="454"/>
    <d v="2017-06-26T00:00:00"/>
    <n v="3200"/>
    <x v="895"/>
    <x v="2"/>
  </r>
  <r>
    <x v="14"/>
    <s v="Emitida"/>
    <d v="2017-06-23T00:00:00"/>
    <d v="2017-06-23T00:00:00"/>
    <x v="455"/>
    <m/>
    <n v="249227"/>
    <x v="896"/>
    <x v="5"/>
  </r>
  <r>
    <x v="6"/>
    <s v="Emitida"/>
    <d v="2017-06-21T00:00:00"/>
    <d v="2017-06-21T00:00:00"/>
    <x v="456"/>
    <m/>
    <n v="4840"/>
    <x v="897"/>
    <x v="5"/>
  </r>
  <r>
    <x v="13"/>
    <s v="Emitida"/>
    <d v="2017-06-16T00:00:00"/>
    <d v="2017-06-16T00:00:00"/>
    <x v="457"/>
    <m/>
    <n v="456"/>
    <x v="898"/>
    <x v="5"/>
  </r>
  <r>
    <x v="38"/>
    <s v="Emitida"/>
    <d v="2017-06-15T00:00:00"/>
    <d v="2017-06-15T00:00:00"/>
    <x v="458"/>
    <m/>
    <n v="4336.8"/>
    <x v="899"/>
    <x v="5"/>
  </r>
  <r>
    <x v="13"/>
    <s v="Emitida"/>
    <d v="2017-06-15T00:00:00"/>
    <d v="2017-06-15T00:00:00"/>
    <x v="459"/>
    <m/>
    <n v="10410"/>
    <x v="900"/>
    <x v="5"/>
  </r>
  <r>
    <x v="26"/>
    <s v="Emitida"/>
    <d v="2017-06-15T00:00:00"/>
    <d v="2017-06-14T00:00:00"/>
    <x v="460"/>
    <m/>
    <n v="53187.6"/>
    <x v="901"/>
    <x v="5"/>
  </r>
  <r>
    <x v="6"/>
    <s v="Emitida"/>
    <d v="2017-06-13T00:00:00"/>
    <d v="2017-06-13T00:00:00"/>
    <x v="461"/>
    <m/>
    <n v="19655"/>
    <x v="902"/>
    <x v="5"/>
  </r>
  <r>
    <x v="26"/>
    <s v="Emitida"/>
    <d v="2017-06-13T00:00:00"/>
    <d v="2017-06-13T00:00:00"/>
    <x v="462"/>
    <m/>
    <n v="9276.9"/>
    <x v="903"/>
    <x v="5"/>
  </r>
  <r>
    <x v="26"/>
    <s v="Emitida"/>
    <d v="2017-06-13T00:00:00"/>
    <d v="2017-06-13T00:00:00"/>
    <x v="462"/>
    <m/>
    <n v="36297"/>
    <x v="904"/>
    <x v="5"/>
  </r>
  <r>
    <x v="26"/>
    <s v="Emitida"/>
    <d v="2017-06-12T00:00:00"/>
    <d v="2017-06-12T00:00:00"/>
    <x v="463"/>
    <m/>
    <n v="7104.65"/>
    <x v="905"/>
    <x v="5"/>
  </r>
  <r>
    <x v="26"/>
    <s v="Emitida"/>
    <d v="2017-06-12T00:00:00"/>
    <d v="2017-06-12T00:00:00"/>
    <x v="463"/>
    <m/>
    <n v="11493.3"/>
    <x v="906"/>
    <x v="5"/>
  </r>
  <r>
    <x v="26"/>
    <s v="Emitida"/>
    <d v="2017-06-09T00:00:00"/>
    <d v="2017-06-09T00:00:00"/>
    <x v="464"/>
    <m/>
    <n v="7032.4"/>
    <x v="907"/>
    <x v="5"/>
  </r>
  <r>
    <x v="13"/>
    <s v="Emitida"/>
    <d v="2017-06-09T00:00:00"/>
    <d v="2017-06-09T00:00:00"/>
    <x v="465"/>
    <m/>
    <n v="3605"/>
    <x v="908"/>
    <x v="5"/>
  </r>
  <r>
    <x v="6"/>
    <s v="Emitida"/>
    <d v="2017-06-08T00:00:00"/>
    <d v="2017-06-08T00:00:00"/>
    <x v="454"/>
    <m/>
    <n v="4790"/>
    <x v="909"/>
    <x v="5"/>
  </r>
  <r>
    <x v="26"/>
    <s v="Emitida"/>
    <d v="2017-06-07T00:00:00"/>
    <d v="2017-06-07T00:00:00"/>
    <x v="458"/>
    <m/>
    <n v="8271"/>
    <x v="910"/>
    <x v="5"/>
  </r>
  <r>
    <x v="6"/>
    <s v="Emitida"/>
    <d v="2017-06-06T00:00:00"/>
    <d v="2017-06-06T00:00:00"/>
    <x v="450"/>
    <m/>
    <n v="3730"/>
    <x v="911"/>
    <x v="5"/>
  </r>
  <r>
    <x v="14"/>
    <s v="Emitida"/>
    <d v="2017-06-05T00:00:00"/>
    <d v="2017-06-05T00:00:00"/>
    <x v="466"/>
    <m/>
    <n v="11613"/>
    <x v="871"/>
    <x v="5"/>
  </r>
  <r>
    <x v="38"/>
    <s v="Emitida"/>
    <d v="2017-06-05T00:00:00"/>
    <d v="2017-06-05T00:00:00"/>
    <x v="467"/>
    <m/>
    <n v="1487.2"/>
    <x v="912"/>
    <x v="5"/>
  </r>
  <r>
    <x v="26"/>
    <s v="Emitida"/>
    <d v="2017-06-02T00:00:00"/>
    <d v="2017-06-02T00:00:00"/>
    <x v="468"/>
    <m/>
    <n v="3588.48"/>
    <x v="913"/>
    <x v="5"/>
  </r>
  <r>
    <x v="26"/>
    <s v="Emitida"/>
    <d v="2017-06-02T00:00:00"/>
    <d v="2017-06-02T00:00:00"/>
    <x v="468"/>
    <m/>
    <n v="32179.5"/>
    <x v="914"/>
    <x v="5"/>
  </r>
  <r>
    <x v="8"/>
    <s v="Emitida"/>
    <d v="2017-06-01T00:00:00"/>
    <d v="2017-06-01T00:00:00"/>
    <x v="457"/>
    <m/>
    <n v="33036"/>
    <x v="915"/>
    <x v="5"/>
  </r>
  <r>
    <x v="37"/>
    <s v="Emitida"/>
    <d v="2017-05-31T00:00:00"/>
    <d v="2017-05-31T00:00:00"/>
    <x v="455"/>
    <m/>
    <n v="4980"/>
    <x v="916"/>
    <x v="5"/>
  </r>
  <r>
    <x v="2"/>
    <s v="Emitida"/>
    <d v="2017-05-31T00:00:00"/>
    <d v="2017-05-31T00:00:00"/>
    <x v="455"/>
    <m/>
    <n v="3300"/>
    <x v="917"/>
    <x v="5"/>
  </r>
  <r>
    <x v="2"/>
    <s v="Emitida"/>
    <d v="2017-05-31T00:00:00"/>
    <d v="2017-05-31T00:00:00"/>
    <x v="455"/>
    <m/>
    <n v="5420"/>
    <x v="918"/>
    <x v="5"/>
  </r>
  <r>
    <x v="29"/>
    <s v="Emitida"/>
    <d v="2017-05-30T00:00:00"/>
    <d v="2017-05-30T00:00:00"/>
    <x v="469"/>
    <m/>
    <n v="23358.7"/>
    <x v="919"/>
    <x v="9"/>
  </r>
  <r>
    <x v="26"/>
    <s v="Emitida"/>
    <d v="2017-05-26T00:00:00"/>
    <d v="2017-05-26T00:00:00"/>
    <x v="470"/>
    <m/>
    <n v="3725.88"/>
    <x v="920"/>
    <x v="5"/>
  </r>
  <r>
    <x v="10"/>
    <s v="Emitida"/>
    <d v="2017-05-26T00:00:00"/>
    <d v="2017-05-26T00:00:00"/>
    <x v="471"/>
    <m/>
    <n v="21306.6"/>
    <x v="921"/>
    <x v="5"/>
  </r>
  <r>
    <x v="6"/>
    <s v="Emitida"/>
    <d v="2017-05-25T00:00:00"/>
    <d v="2017-05-25T00:00:00"/>
    <x v="472"/>
    <m/>
    <n v="15080"/>
    <x v="922"/>
    <x v="5"/>
  </r>
  <r>
    <x v="6"/>
    <s v="Emitida"/>
    <d v="2017-05-25T00:00:00"/>
    <d v="2017-05-25T00:00:00"/>
    <x v="472"/>
    <m/>
    <n v="38624"/>
    <x v="923"/>
    <x v="5"/>
  </r>
  <r>
    <x v="6"/>
    <s v="Cancela"/>
    <d v="2017-05-24T00:00:00"/>
    <d v="2017-05-24T00:00:00"/>
    <x v="460"/>
    <d v="2017-05-25T00:00:00"/>
    <n v="53704"/>
    <x v="924"/>
    <x v="2"/>
  </r>
  <r>
    <x v="10"/>
    <s v="Emitida"/>
    <d v="2017-05-23T00:00:00"/>
    <d v="2017-05-23T00:00:00"/>
    <x v="473"/>
    <m/>
    <n v="320"/>
    <x v="596"/>
    <x v="5"/>
  </r>
  <r>
    <x v="10"/>
    <s v="Emitida"/>
    <d v="2017-05-23T00:00:00"/>
    <d v="2017-05-23T00:00:00"/>
    <x v="473"/>
    <m/>
    <n v="85226.4"/>
    <x v="925"/>
    <x v="5"/>
  </r>
  <r>
    <x v="10"/>
    <s v="Emitida"/>
    <d v="2017-05-23T00:00:00"/>
    <d v="2017-05-23T00:00:00"/>
    <x v="473"/>
    <m/>
    <n v="1200"/>
    <x v="926"/>
    <x v="5"/>
  </r>
  <r>
    <x v="43"/>
    <s v="Emitida"/>
    <d v="2017-05-23T00:00:00"/>
    <d v="2017-05-23T00:00:00"/>
    <x v="474"/>
    <m/>
    <n v="24297"/>
    <x v="927"/>
    <x v="5"/>
  </r>
  <r>
    <x v="13"/>
    <s v="Emitida"/>
    <d v="2017-05-22T00:00:00"/>
    <d v="2017-05-22T00:00:00"/>
    <x v="462"/>
    <m/>
    <n v="5609"/>
    <x v="928"/>
    <x v="5"/>
  </r>
  <r>
    <x v="26"/>
    <s v="Emitida"/>
    <d v="2017-05-22T00:00:00"/>
    <d v="2017-05-22T00:00:00"/>
    <x v="474"/>
    <m/>
    <n v="26166.1"/>
    <x v="929"/>
    <x v="5"/>
  </r>
  <r>
    <x v="24"/>
    <s v="Emitida"/>
    <d v="2017-05-19T00:00:00"/>
    <d v="2017-05-19T00:00:00"/>
    <x v="475"/>
    <m/>
    <n v="3006.99"/>
    <x v="930"/>
    <x v="5"/>
  </r>
  <r>
    <x v="24"/>
    <s v="Cancela"/>
    <d v="2017-05-19T00:00:00"/>
    <d v="2017-05-19T00:00:00"/>
    <x v="475"/>
    <d v="2017-05-19T00:00:00"/>
    <n v="3006.94"/>
    <x v="931"/>
    <x v="2"/>
  </r>
  <r>
    <x v="26"/>
    <s v="Emitida"/>
    <d v="2017-05-17T00:00:00"/>
    <d v="2017-05-17T00:00:00"/>
    <x v="476"/>
    <m/>
    <n v="52220.5"/>
    <x v="932"/>
    <x v="5"/>
  </r>
  <r>
    <x v="13"/>
    <s v="Emitida"/>
    <d v="2017-05-16T00:00:00"/>
    <d v="2017-05-16T00:00:00"/>
    <x v="458"/>
    <m/>
    <n v="10410"/>
    <x v="900"/>
    <x v="5"/>
  </r>
  <r>
    <x v="26"/>
    <s v="Emitida"/>
    <d v="2017-05-16T00:00:00"/>
    <d v="2017-05-16T00:00:00"/>
    <x v="477"/>
    <m/>
    <n v="4783.8"/>
    <x v="933"/>
    <x v="5"/>
  </r>
  <r>
    <x v="26"/>
    <s v="Emitida"/>
    <d v="2017-05-15T00:00:00"/>
    <d v="2017-05-15T00:00:00"/>
    <x v="478"/>
    <m/>
    <n v="9043.2000000000007"/>
    <x v="934"/>
    <x v="5"/>
  </r>
  <r>
    <x v="26"/>
    <s v="Emitida"/>
    <d v="2017-05-15T00:00:00"/>
    <d v="2017-05-15T00:00:00"/>
    <x v="478"/>
    <m/>
    <n v="1113.5999999999999"/>
    <x v="935"/>
    <x v="5"/>
  </r>
  <r>
    <x v="26"/>
    <s v="Emitida"/>
    <d v="2017-05-11T00:00:00"/>
    <d v="2017-05-11T00:00:00"/>
    <x v="479"/>
    <m/>
    <n v="21186.799999999999"/>
    <x v="936"/>
    <x v="5"/>
  </r>
  <r>
    <x v="2"/>
    <s v="Emitida"/>
    <d v="2017-05-10T00:00:00"/>
    <d v="2017-05-10T00:00:00"/>
    <x v="480"/>
    <m/>
    <n v="12838"/>
    <x v="937"/>
    <x v="5"/>
  </r>
  <r>
    <x v="26"/>
    <s v="Emitida"/>
    <d v="2017-05-09T00:00:00"/>
    <d v="2017-05-09T00:00:00"/>
    <x v="481"/>
    <m/>
    <n v="14217.5"/>
    <x v="938"/>
    <x v="5"/>
  </r>
  <r>
    <x v="26"/>
    <s v="Emitida"/>
    <d v="2017-05-08T00:00:00"/>
    <d v="2017-05-08T00:00:00"/>
    <x v="482"/>
    <m/>
    <n v="7901.08"/>
    <x v="939"/>
    <x v="5"/>
  </r>
  <r>
    <x v="44"/>
    <s v="Emitida"/>
    <d v="2017-05-08T00:00:00"/>
    <d v="2017-05-08T00:00:00"/>
    <x v="478"/>
    <m/>
    <n v="6981"/>
    <x v="940"/>
    <x v="5"/>
  </r>
  <r>
    <x v="44"/>
    <s v="Cancela"/>
    <d v="2017-05-08T00:00:00"/>
    <d v="2017-05-08T00:00:00"/>
    <x v="478"/>
    <d v="2017-05-08T00:00:00"/>
    <n v="6981"/>
    <x v="940"/>
    <x v="2"/>
  </r>
  <r>
    <x v="26"/>
    <s v="Emitida"/>
    <d v="2017-05-04T00:00:00"/>
    <d v="2017-05-04T00:00:00"/>
    <x v="483"/>
    <m/>
    <n v="2831.83"/>
    <x v="941"/>
    <x v="5"/>
  </r>
  <r>
    <x v="14"/>
    <s v="Emitida"/>
    <d v="2017-05-02T00:00:00"/>
    <d v="2017-05-02T00:00:00"/>
    <x v="484"/>
    <m/>
    <n v="46452"/>
    <x v="942"/>
    <x v="5"/>
  </r>
  <r>
    <x v="45"/>
    <s v="Emitida"/>
    <d v="2017-04-27T00:00:00"/>
    <d v="2017-04-27T00:00:00"/>
    <x v="485"/>
    <m/>
    <n v="2380"/>
    <x v="943"/>
    <x v="8"/>
  </r>
  <r>
    <x v="37"/>
    <s v="Emitida"/>
    <d v="2017-04-27T00:00:00"/>
    <d v="2017-04-24T00:00:00"/>
    <x v="475"/>
    <m/>
    <n v="4900"/>
    <x v="944"/>
    <x v="5"/>
  </r>
  <r>
    <x v="6"/>
    <s v="Emitida"/>
    <d v="2017-04-24T00:00:00"/>
    <d v="2017-04-24T00:00:00"/>
    <x v="477"/>
    <m/>
    <n v="4120"/>
    <x v="945"/>
    <x v="5"/>
  </r>
  <r>
    <x v="26"/>
    <s v="Emitida"/>
    <d v="2017-04-21T00:00:00"/>
    <d v="2017-04-21T00:00:00"/>
    <x v="486"/>
    <m/>
    <n v="31535.9"/>
    <x v="946"/>
    <x v="5"/>
  </r>
  <r>
    <x v="13"/>
    <s v="Emitida"/>
    <d v="2017-04-20T00:00:00"/>
    <d v="2017-04-20T00:00:00"/>
    <x v="487"/>
    <m/>
    <n v="10470"/>
    <x v="947"/>
    <x v="5"/>
  </r>
  <r>
    <x v="6"/>
    <s v="Emitida"/>
    <d v="2017-04-20T00:00:00"/>
    <d v="2017-04-20T00:00:00"/>
    <x v="487"/>
    <m/>
    <n v="875"/>
    <x v="948"/>
    <x v="5"/>
  </r>
  <r>
    <x v="26"/>
    <s v="Cancela"/>
    <d v="2017-04-19T00:00:00"/>
    <d v="2017-04-19T00:00:00"/>
    <x v="488"/>
    <d v="2017-04-19T00:00:00"/>
    <n v="6530.71"/>
    <x v="949"/>
    <x v="2"/>
  </r>
  <r>
    <x v="26"/>
    <s v="Emitida"/>
    <d v="2017-04-19T00:00:00"/>
    <d v="2017-04-19T00:00:00"/>
    <x v="488"/>
    <m/>
    <n v="2497.8000000000002"/>
    <x v="950"/>
    <x v="5"/>
  </r>
  <r>
    <x v="26"/>
    <s v="Emitida"/>
    <d v="2017-04-19T00:00:00"/>
    <d v="2017-04-19T00:00:00"/>
    <x v="488"/>
    <m/>
    <n v="9230.6299999999992"/>
    <x v="951"/>
    <x v="5"/>
  </r>
  <r>
    <x v="2"/>
    <s v="Emitida"/>
    <d v="2017-04-19T00:00:00"/>
    <d v="2017-04-19T00:00:00"/>
    <x v="479"/>
    <m/>
    <n v="10686"/>
    <x v="952"/>
    <x v="5"/>
  </r>
  <r>
    <x v="38"/>
    <s v="Emitida"/>
    <d v="2017-04-17T00:00:00"/>
    <d v="2017-04-17T00:00:00"/>
    <x v="489"/>
    <m/>
    <n v="975.52"/>
    <x v="953"/>
    <x v="5"/>
  </r>
  <r>
    <x v="26"/>
    <s v="Emitida"/>
    <d v="2017-04-11T00:00:00"/>
    <d v="2017-04-11T00:00:00"/>
    <x v="490"/>
    <m/>
    <n v="18866"/>
    <x v="954"/>
    <x v="5"/>
  </r>
  <r>
    <x v="26"/>
    <s v="Emitida"/>
    <d v="2017-04-11T00:00:00"/>
    <d v="2017-04-11T00:00:00"/>
    <x v="490"/>
    <m/>
    <n v="6565.89"/>
    <x v="955"/>
    <x v="5"/>
  </r>
  <r>
    <x v="22"/>
    <s v="Emitida"/>
    <d v="2017-04-11T00:00:00"/>
    <d v="2017-04-11T00:00:00"/>
    <x v="491"/>
    <m/>
    <n v="1650"/>
    <x v="956"/>
    <x v="5"/>
  </r>
  <r>
    <x v="6"/>
    <s v="Emitida"/>
    <d v="2017-04-11T00:00:00"/>
    <d v="2017-04-11T00:00:00"/>
    <x v="492"/>
    <m/>
    <n v="27249"/>
    <x v="957"/>
    <x v="5"/>
  </r>
  <r>
    <x v="10"/>
    <s v="Emitida"/>
    <d v="2017-04-07T00:00:00"/>
    <d v="2017-04-07T00:00:00"/>
    <x v="469"/>
    <m/>
    <n v="2920.32"/>
    <x v="958"/>
    <x v="5"/>
  </r>
  <r>
    <x v="46"/>
    <s v="Emitida"/>
    <d v="2017-04-06T00:00:00"/>
    <d v="2017-03-24T00:00:00"/>
    <x v="493"/>
    <m/>
    <n v="1942"/>
    <x v="959"/>
    <x v="5"/>
  </r>
  <r>
    <x v="26"/>
    <s v="Emitida"/>
    <d v="2017-04-06T00:00:00"/>
    <d v="2017-04-06T00:00:00"/>
    <x v="494"/>
    <m/>
    <n v="32082.5"/>
    <x v="960"/>
    <x v="5"/>
  </r>
  <r>
    <x v="13"/>
    <s v="Emitida"/>
    <d v="2017-04-05T00:00:00"/>
    <d v="2017-04-05T00:00:00"/>
    <x v="495"/>
    <m/>
    <n v="14897.9"/>
    <x v="961"/>
    <x v="5"/>
  </r>
  <r>
    <x v="26"/>
    <s v="Emitida"/>
    <d v="2017-04-04T00:00:00"/>
    <d v="2017-04-04T00:00:00"/>
    <x v="496"/>
    <m/>
    <n v="6354.4"/>
    <x v="962"/>
    <x v="5"/>
  </r>
  <r>
    <x v="2"/>
    <s v="Emitida"/>
    <d v="2017-04-03T00:00:00"/>
    <d v="2017-04-03T00:00:00"/>
    <x v="497"/>
    <m/>
    <n v="2460"/>
    <x v="877"/>
    <x v="5"/>
  </r>
  <r>
    <x v="26"/>
    <s v="Emitida"/>
    <d v="2017-03-31T00:00:00"/>
    <d v="2017-03-31T00:00:00"/>
    <x v="498"/>
    <m/>
    <n v="2586.85"/>
    <x v="963"/>
    <x v="5"/>
  </r>
  <r>
    <x v="26"/>
    <s v="Emitida"/>
    <d v="2017-03-31T00:00:00"/>
    <d v="2017-03-31T00:00:00"/>
    <x v="498"/>
    <m/>
    <n v="4053.93"/>
    <x v="964"/>
    <x v="5"/>
  </r>
  <r>
    <x v="6"/>
    <s v="Emitida"/>
    <d v="2017-03-28T00:00:00"/>
    <d v="2017-03-28T00:00:00"/>
    <x v="488"/>
    <m/>
    <n v="8446"/>
    <x v="965"/>
    <x v="5"/>
  </r>
  <r>
    <x v="6"/>
    <s v="Emitida"/>
    <d v="2017-03-28T00:00:00"/>
    <d v="2017-03-28T00:00:00"/>
    <x v="488"/>
    <m/>
    <n v="27024"/>
    <x v="966"/>
    <x v="5"/>
  </r>
  <r>
    <x v="26"/>
    <s v="Emitida"/>
    <d v="2017-03-23T00:00:00"/>
    <d v="2017-03-23T00:00:00"/>
    <x v="499"/>
    <m/>
    <n v="2995.68"/>
    <x v="967"/>
    <x v="5"/>
  </r>
  <r>
    <x v="26"/>
    <s v="Emitida"/>
    <d v="2017-03-23T00:00:00"/>
    <d v="2017-03-23T00:00:00"/>
    <x v="499"/>
    <m/>
    <n v="7957.4"/>
    <x v="968"/>
    <x v="5"/>
  </r>
  <r>
    <x v="6"/>
    <s v="Emitida"/>
    <d v="2017-03-23T00:00:00"/>
    <d v="2017-03-23T00:00:00"/>
    <x v="500"/>
    <m/>
    <n v="29480"/>
    <x v="106"/>
    <x v="5"/>
  </r>
  <r>
    <x v="6"/>
    <s v="Emitida"/>
    <d v="2017-03-23T00:00:00"/>
    <d v="2017-03-23T00:00:00"/>
    <x v="500"/>
    <m/>
    <n v="46016"/>
    <x v="969"/>
    <x v="5"/>
  </r>
  <r>
    <x v="6"/>
    <s v="Emitida"/>
    <d v="2017-03-22T00:00:00"/>
    <d v="2017-03-22T00:00:00"/>
    <x v="501"/>
    <m/>
    <n v="2145"/>
    <x v="970"/>
    <x v="5"/>
  </r>
  <r>
    <x v="46"/>
    <s v="Emitida"/>
    <d v="2017-03-17T00:00:00"/>
    <d v="2017-03-17T00:00:00"/>
    <x v="502"/>
    <m/>
    <n v="1400"/>
    <x v="971"/>
    <x v="5"/>
  </r>
  <r>
    <x v="26"/>
    <s v="Emitida"/>
    <d v="2017-03-17T00:00:00"/>
    <d v="2017-03-17T00:00:00"/>
    <x v="503"/>
    <m/>
    <n v="24950.400000000001"/>
    <x v="972"/>
    <x v="5"/>
  </r>
  <r>
    <x v="2"/>
    <s v="Emitida"/>
    <d v="2017-03-16T00:00:00"/>
    <d v="2017-03-16T00:00:00"/>
    <x v="504"/>
    <m/>
    <n v="5950"/>
    <x v="973"/>
    <x v="5"/>
  </r>
  <r>
    <x v="6"/>
    <s v="Emitida"/>
    <d v="2017-03-15T00:00:00"/>
    <d v="2017-03-15T00:00:00"/>
    <x v="494"/>
    <m/>
    <n v="3676"/>
    <x v="974"/>
    <x v="5"/>
  </r>
  <r>
    <x v="2"/>
    <s v="Emitida"/>
    <d v="2017-03-15T00:00:00"/>
    <d v="2017-03-15T00:00:00"/>
    <x v="494"/>
    <m/>
    <n v="2247"/>
    <x v="694"/>
    <x v="5"/>
  </r>
  <r>
    <x v="47"/>
    <s v="Emitida"/>
    <d v="2017-03-15T00:00:00"/>
    <d v="2017-03-15T00:00:00"/>
    <x v="505"/>
    <m/>
    <n v="24160"/>
    <x v="975"/>
    <x v="5"/>
  </r>
  <r>
    <x v="26"/>
    <s v="Emitida"/>
    <d v="2017-03-14T00:00:00"/>
    <d v="2017-03-14T00:00:00"/>
    <x v="506"/>
    <m/>
    <n v="47088"/>
    <x v="976"/>
    <x v="5"/>
  </r>
  <r>
    <x v="6"/>
    <s v="Emitida"/>
    <d v="2017-03-14T00:00:00"/>
    <d v="2017-03-14T00:00:00"/>
    <x v="507"/>
    <m/>
    <n v="2420"/>
    <x v="977"/>
    <x v="5"/>
  </r>
  <r>
    <x v="6"/>
    <s v="Emitida"/>
    <d v="2017-03-14T00:00:00"/>
    <d v="2017-03-14T00:00:00"/>
    <x v="507"/>
    <m/>
    <n v="19328"/>
    <x v="978"/>
    <x v="5"/>
  </r>
  <r>
    <x v="26"/>
    <s v="Emitida"/>
    <d v="2017-03-14T00:00:00"/>
    <d v="2017-03-14T00:00:00"/>
    <x v="506"/>
    <m/>
    <n v="9408"/>
    <x v="979"/>
    <x v="5"/>
  </r>
  <r>
    <x v="46"/>
    <s v="Cancela"/>
    <d v="2017-03-13T00:00:00"/>
    <d v="2017-03-13T00:00:00"/>
    <x v="508"/>
    <d v="2017-03-17T00:00:00"/>
    <n v="1124"/>
    <x v="980"/>
    <x v="2"/>
  </r>
  <r>
    <x v="13"/>
    <s v="Emitida"/>
    <d v="2017-03-13T00:00:00"/>
    <d v="2017-03-13T00:00:00"/>
    <x v="496"/>
    <m/>
    <n v="30487.5"/>
    <x v="981"/>
    <x v="5"/>
  </r>
  <r>
    <x v="28"/>
    <s v="Emitida"/>
    <d v="2017-03-13T00:00:00"/>
    <d v="2017-03-13T00:00:00"/>
    <x v="509"/>
    <m/>
    <n v="1416"/>
    <x v="982"/>
    <x v="9"/>
  </r>
  <r>
    <x v="26"/>
    <s v="Emitida"/>
    <d v="2017-03-10T00:00:00"/>
    <d v="2017-03-10T00:00:00"/>
    <x v="510"/>
    <m/>
    <n v="33908"/>
    <x v="983"/>
    <x v="5"/>
  </r>
  <r>
    <x v="2"/>
    <s v="Emitida"/>
    <d v="2017-03-06T00:00:00"/>
    <d v="2017-03-06T00:00:00"/>
    <x v="511"/>
    <m/>
    <n v="4494"/>
    <x v="984"/>
    <x v="5"/>
  </r>
  <r>
    <x v="6"/>
    <s v="Emitida"/>
    <d v="2017-03-03T00:00:00"/>
    <d v="2017-03-03T00:00:00"/>
    <x v="512"/>
    <m/>
    <n v="3872"/>
    <x v="985"/>
    <x v="5"/>
  </r>
  <r>
    <x v="6"/>
    <s v="Cancela"/>
    <d v="2017-03-03T00:00:00"/>
    <d v="2017-03-03T00:00:00"/>
    <x v="512"/>
    <d v="2017-03-03T00:00:00"/>
    <n v="3872"/>
    <x v="985"/>
    <x v="2"/>
  </r>
  <r>
    <x v="22"/>
    <s v="Emitida"/>
    <d v="2017-03-03T00:00:00"/>
    <d v="2017-03-03T00:00:00"/>
    <x v="510"/>
    <m/>
    <n v="5680"/>
    <x v="986"/>
    <x v="5"/>
  </r>
  <r>
    <x v="26"/>
    <s v="Emitida"/>
    <d v="2017-03-03T00:00:00"/>
    <d v="2017-03-03T00:00:00"/>
    <x v="513"/>
    <m/>
    <n v="4759.2"/>
    <x v="987"/>
    <x v="5"/>
  </r>
  <r>
    <x v="6"/>
    <s v="Emitida"/>
    <d v="2017-03-01T00:00:00"/>
    <d v="2017-03-01T00:00:00"/>
    <x v="499"/>
    <m/>
    <n v="8942"/>
    <x v="988"/>
    <x v="5"/>
  </r>
  <r>
    <x v="13"/>
    <s v="Emitida"/>
    <d v="2017-03-01T00:00:00"/>
    <d v="2017-03-01T00:00:00"/>
    <x v="499"/>
    <m/>
    <n v="3930"/>
    <x v="989"/>
    <x v="5"/>
  </r>
  <r>
    <x v="26"/>
    <s v="Emitida"/>
    <d v="2017-02-28T00:00:00"/>
    <d v="2017-02-28T00:00:00"/>
    <x v="514"/>
    <m/>
    <n v="70198.2"/>
    <x v="990"/>
    <x v="5"/>
  </r>
  <r>
    <x v="26"/>
    <s v="Emitida"/>
    <d v="2017-02-28T00:00:00"/>
    <d v="2017-02-28T00:00:00"/>
    <x v="514"/>
    <m/>
    <n v="53541"/>
    <x v="991"/>
    <x v="5"/>
  </r>
  <r>
    <x v="26"/>
    <s v="Emitida"/>
    <d v="2017-02-28T00:00:00"/>
    <d v="2017-02-28T00:00:00"/>
    <x v="514"/>
    <m/>
    <n v="1592.8"/>
    <x v="992"/>
    <x v="2"/>
  </r>
  <r>
    <x v="6"/>
    <s v="Emitida"/>
    <d v="2017-02-27T00:00:00"/>
    <d v="2017-02-27T00:00:00"/>
    <x v="515"/>
    <m/>
    <n v="4303"/>
    <x v="993"/>
    <x v="2"/>
  </r>
  <r>
    <x v="2"/>
    <s v="Emitida"/>
    <d v="2017-02-27T00:00:00"/>
    <d v="2017-02-27T00:00:00"/>
    <x v="515"/>
    <m/>
    <n v="854"/>
    <x v="994"/>
    <x v="2"/>
  </r>
  <r>
    <x v="10"/>
    <s v="Emitida"/>
    <d v="2017-02-24T00:00:00"/>
    <d v="2017-02-21T00:00:00"/>
    <x v="516"/>
    <m/>
    <n v="79480.7"/>
    <x v="995"/>
    <x v="2"/>
  </r>
  <r>
    <x v="26"/>
    <s v="Emitida"/>
    <d v="2017-02-24T00:00:00"/>
    <d v="2017-02-24T00:00:00"/>
    <x v="517"/>
    <m/>
    <n v="46410.2"/>
    <x v="996"/>
    <x v="2"/>
  </r>
  <r>
    <x v="8"/>
    <s v="Emitida"/>
    <d v="2017-02-23T00:00:00"/>
    <d v="2017-02-23T00:00:00"/>
    <x v="518"/>
    <m/>
    <n v="15822"/>
    <x v="997"/>
    <x v="2"/>
  </r>
  <r>
    <x v="26"/>
    <s v="Emitida"/>
    <d v="2017-02-22T00:00:00"/>
    <d v="2017-02-22T00:00:00"/>
    <x v="519"/>
    <m/>
    <n v="12123.5"/>
    <x v="998"/>
    <x v="2"/>
  </r>
  <r>
    <x v="13"/>
    <s v="Emitida"/>
    <d v="2017-02-22T00:00:00"/>
    <d v="2017-02-22T00:00:00"/>
    <x v="520"/>
    <m/>
    <n v="17040"/>
    <x v="999"/>
    <x v="2"/>
  </r>
  <r>
    <x v="26"/>
    <s v="Emitida"/>
    <d v="2017-02-22T00:00:00"/>
    <d v="2017-02-22T00:00:00"/>
    <x v="519"/>
    <m/>
    <n v="24098.3"/>
    <x v="1000"/>
    <x v="2"/>
  </r>
  <r>
    <x v="26"/>
    <s v="Cancela"/>
    <d v="2017-02-22T00:00:00"/>
    <d v="2017-02-22T00:00:00"/>
    <x v="519"/>
    <d v="2017-02-22T00:00:00"/>
    <n v="24240.6"/>
    <x v="1001"/>
    <x v="2"/>
  </r>
  <r>
    <x v="24"/>
    <s v="Emitida"/>
    <d v="2017-02-17T00:00:00"/>
    <d v="2017-02-17T00:00:00"/>
    <x v="521"/>
    <m/>
    <n v="1631"/>
    <x v="1002"/>
    <x v="2"/>
  </r>
  <r>
    <x v="8"/>
    <s v="Emitida"/>
    <d v="2017-02-16T00:00:00"/>
    <d v="2017-02-16T00:00:00"/>
    <x v="512"/>
    <m/>
    <n v="15134"/>
    <x v="1003"/>
    <x v="2"/>
  </r>
  <r>
    <x v="6"/>
    <s v="Emitida"/>
    <d v="2017-02-15T00:00:00"/>
    <d v="2017-02-15T00:00:00"/>
    <x v="502"/>
    <m/>
    <n v="9912"/>
    <x v="1004"/>
    <x v="2"/>
  </r>
  <r>
    <x v="0"/>
    <s v="Emitida"/>
    <d v="2017-02-14T00:00:00"/>
    <d v="2017-02-14T00:00:00"/>
    <x v="522"/>
    <m/>
    <n v="15882"/>
    <x v="1005"/>
    <x v="2"/>
  </r>
  <r>
    <x v="8"/>
    <s v="Cancela"/>
    <d v="2017-02-13T00:00:00"/>
    <d v="2017-02-13T00:00:00"/>
    <x v="505"/>
    <d v="2017-02-13T00:00:00"/>
    <n v="2055.04"/>
    <x v="1006"/>
    <x v="2"/>
  </r>
  <r>
    <x v="2"/>
    <s v="Emitida"/>
    <d v="2017-02-10T00:00:00"/>
    <d v="2017-02-10T00:00:00"/>
    <x v="523"/>
    <m/>
    <n v="6846"/>
    <x v="1007"/>
    <x v="2"/>
  </r>
  <r>
    <x v="8"/>
    <s v="Cancela"/>
    <d v="2017-02-10T00:00:00"/>
    <d v="2017-02-10T00:00:00"/>
    <x v="524"/>
    <d v="2017-02-16T00:00:00"/>
    <n v="15170"/>
    <x v="1008"/>
    <x v="2"/>
  </r>
  <r>
    <x v="6"/>
    <s v="Emitida"/>
    <d v="2017-02-09T00:00:00"/>
    <d v="2017-02-09T00:00:00"/>
    <x v="513"/>
    <m/>
    <n v="23616"/>
    <x v="1009"/>
    <x v="2"/>
  </r>
  <r>
    <x v="26"/>
    <s v="Emitida"/>
    <d v="2017-02-07T00:00:00"/>
    <d v="2017-02-07T00:00:00"/>
    <x v="525"/>
    <m/>
    <n v="9328.5"/>
    <x v="1010"/>
    <x v="2"/>
  </r>
  <r>
    <x v="26"/>
    <s v="Emitida"/>
    <d v="2017-02-07T00:00:00"/>
    <d v="2017-02-07T00:00:00"/>
    <x v="525"/>
    <m/>
    <n v="3731.4"/>
    <x v="1011"/>
    <x v="2"/>
  </r>
  <r>
    <x v="26"/>
    <s v="Emitida"/>
    <d v="2017-02-07T00:00:00"/>
    <d v="2017-02-07T00:00:00"/>
    <x v="525"/>
    <m/>
    <n v="31712.799999999999"/>
    <x v="1012"/>
    <x v="2"/>
  </r>
  <r>
    <x v="13"/>
    <s v="Emitida"/>
    <d v="2017-02-03T00:00:00"/>
    <d v="2017-02-03T00:00:00"/>
    <x v="526"/>
    <m/>
    <n v="19442"/>
    <x v="1013"/>
    <x v="2"/>
  </r>
  <r>
    <x v="13"/>
    <s v="Emitida"/>
    <d v="2017-02-03T00:00:00"/>
    <d v="2017-02-03T00:00:00"/>
    <x v="526"/>
    <m/>
    <n v="7305"/>
    <x v="1014"/>
    <x v="2"/>
  </r>
  <r>
    <x v="5"/>
    <s v="Emitida"/>
    <d v="2017-02-02T00:00:00"/>
    <d v="2017-02-02T00:00:00"/>
    <x v="527"/>
    <m/>
    <n v="23388.7"/>
    <x v="1015"/>
    <x v="2"/>
  </r>
  <r>
    <x v="26"/>
    <s v="Emitida"/>
    <d v="2017-01-31T00:00:00"/>
    <d v="2017-01-31T00:00:00"/>
    <x v="528"/>
    <m/>
    <n v="16605.8"/>
    <x v="1016"/>
    <x v="2"/>
  </r>
  <r>
    <x v="6"/>
    <s v="Emitida"/>
    <d v="2017-01-30T00:00:00"/>
    <d v="2017-01-30T00:00:00"/>
    <x v="529"/>
    <m/>
    <n v="1930"/>
    <x v="1017"/>
    <x v="2"/>
  </r>
  <r>
    <x v="6"/>
    <s v="Emitida"/>
    <d v="2017-01-30T00:00:00"/>
    <d v="2017-01-30T00:00:00"/>
    <x v="529"/>
    <m/>
    <n v="35125"/>
    <x v="1018"/>
    <x v="2"/>
  </r>
  <r>
    <x v="26"/>
    <s v="Emitida"/>
    <d v="2017-01-26T00:00:00"/>
    <d v="2017-01-26T00:00:00"/>
    <x v="530"/>
    <m/>
    <n v="8377.0400000000009"/>
    <x v="1019"/>
    <x v="2"/>
  </r>
  <r>
    <x v="26"/>
    <s v="Cancela"/>
    <d v="2017-01-26T00:00:00"/>
    <d v="2017-01-26T00:00:00"/>
    <x v="530"/>
    <d v="2017-01-26T00:00:00"/>
    <n v="392"/>
    <x v="1020"/>
    <x v="2"/>
  </r>
  <r>
    <x v="26"/>
    <s v="Emitida"/>
    <d v="2017-01-24T00:00:00"/>
    <d v="2017-01-24T00:00:00"/>
    <x v="531"/>
    <m/>
    <n v="25336.9"/>
    <x v="1021"/>
    <x v="2"/>
  </r>
  <r>
    <x v="13"/>
    <s v="Cancela"/>
    <d v="2017-01-24T00:00:00"/>
    <d v="2017-01-24T00:00:00"/>
    <x v="532"/>
    <d v="2017-01-24T00:00:00"/>
    <n v="12179"/>
    <x v="1022"/>
    <x v="2"/>
  </r>
  <r>
    <x v="6"/>
    <s v="Emitida"/>
    <d v="2017-01-24T00:00:00"/>
    <d v="2017-01-24T00:00:00"/>
    <x v="532"/>
    <m/>
    <n v="2494"/>
    <x v="1023"/>
    <x v="2"/>
  </r>
  <r>
    <x v="6"/>
    <s v="Emitida"/>
    <d v="2017-01-23T00:00:00"/>
    <d v="2017-01-23T00:00:00"/>
    <x v="533"/>
    <m/>
    <n v="14740"/>
    <x v="135"/>
    <x v="2"/>
  </r>
  <r>
    <x v="6"/>
    <s v="Emitida"/>
    <d v="2017-01-23T00:00:00"/>
    <d v="2017-01-23T00:00:00"/>
    <x v="533"/>
    <m/>
    <n v="47718"/>
    <x v="1024"/>
    <x v="2"/>
  </r>
  <r>
    <x v="2"/>
    <s v="Emitida"/>
    <d v="2017-01-18T00:00:00"/>
    <d v="2017-01-18T00:00:00"/>
    <x v="534"/>
    <m/>
    <n v="1836"/>
    <x v="1025"/>
    <x v="2"/>
  </r>
  <r>
    <x v="10"/>
    <s v="Emitida"/>
    <d v="2017-01-17T00:00:00"/>
    <d v="2017-01-17T00:00:00"/>
    <x v="510"/>
    <m/>
    <n v="17736.599999999999"/>
    <x v="1026"/>
    <x v="2"/>
  </r>
  <r>
    <x v="8"/>
    <s v="Emitida"/>
    <d v="2017-01-13T00:00:00"/>
    <d v="2017-01-13T00:00:00"/>
    <x v="535"/>
    <m/>
    <n v="12430"/>
    <x v="1027"/>
    <x v="2"/>
  </r>
  <r>
    <x v="26"/>
    <s v="Emitida"/>
    <d v="2017-01-12T00:00:00"/>
    <d v="2017-01-12T00:00:00"/>
    <x v="536"/>
    <m/>
    <n v="9339.84"/>
    <x v="1028"/>
    <x v="2"/>
  </r>
  <r>
    <x v="26"/>
    <s v="Emitida"/>
    <d v="2017-01-12T00:00:00"/>
    <d v="2017-01-12T00:00:00"/>
    <x v="536"/>
    <m/>
    <n v="1405.3"/>
    <x v="1029"/>
    <x v="2"/>
  </r>
  <r>
    <x v="6"/>
    <s v="Emitida"/>
    <d v="2017-01-12T00:00:00"/>
    <d v="2017-01-12T00:00:00"/>
    <x v="537"/>
    <m/>
    <n v="25338"/>
    <x v="1030"/>
    <x v="2"/>
  </r>
  <r>
    <x v="6"/>
    <s v="Emitida"/>
    <d v="2017-01-12T00:00:00"/>
    <d v="2017-01-12T00:00:00"/>
    <x v="537"/>
    <m/>
    <n v="42230"/>
    <x v="1031"/>
    <x v="2"/>
  </r>
  <r>
    <x v="26"/>
    <s v="Emitida"/>
    <d v="2017-01-11T00:00:00"/>
    <d v="2017-01-11T00:00:00"/>
    <x v="538"/>
    <m/>
    <n v="26172.400000000001"/>
    <x v="1032"/>
    <x v="2"/>
  </r>
  <r>
    <x v="26"/>
    <s v="Emitida"/>
    <d v="2017-01-10T00:00:00"/>
    <d v="2017-01-10T00:00:00"/>
    <x v="539"/>
    <m/>
    <n v="41371.199999999997"/>
    <x v="1033"/>
    <x v="2"/>
  </r>
  <r>
    <x v="26"/>
    <s v="Emitida"/>
    <d v="2017-01-10T00:00:00"/>
    <d v="2017-01-10T00:00:00"/>
    <x v="539"/>
    <m/>
    <n v="10213.4"/>
    <x v="1034"/>
    <x v="2"/>
  </r>
  <r>
    <x v="26"/>
    <s v="Emitida"/>
    <d v="2017-01-03T00:00:00"/>
    <d v="2017-01-03T00:00:00"/>
    <x v="540"/>
    <m/>
    <n v="2642.66"/>
    <x v="1035"/>
    <x v="2"/>
  </r>
  <r>
    <x v="26"/>
    <s v="Emitida"/>
    <d v="2017-01-03T00:00:00"/>
    <d v="2017-01-03T00:00:00"/>
    <x v="540"/>
    <m/>
    <n v="2642.66"/>
    <x v="1035"/>
    <x v="2"/>
  </r>
  <r>
    <x v="26"/>
    <s v="Emitida"/>
    <d v="2017-01-03T00:00:00"/>
    <d v="2017-01-03T00:00:00"/>
    <x v="540"/>
    <m/>
    <n v="5938.56"/>
    <x v="1036"/>
    <x v="2"/>
  </r>
  <r>
    <x v="26"/>
    <s v="Emitida"/>
    <d v="2017-01-03T00:00:00"/>
    <d v="2017-01-03T00:00:00"/>
    <x v="540"/>
    <m/>
    <n v="13089.5"/>
    <x v="1037"/>
    <x v="2"/>
  </r>
  <r>
    <x v="29"/>
    <s v="Emitida"/>
    <d v="2017-01-03T00:00:00"/>
    <d v="2017-01-03T00:00:00"/>
    <x v="541"/>
    <m/>
    <n v="10578"/>
    <x v="1038"/>
    <x v="10"/>
  </r>
  <r>
    <x v="6"/>
    <s v="Emitida"/>
    <d v="2017-01-03T00:00:00"/>
    <d v="2017-01-03T00:00:00"/>
    <x v="542"/>
    <m/>
    <n v="23616"/>
    <x v="1009"/>
    <x v="2"/>
  </r>
  <r>
    <x v="6"/>
    <s v="Emitida"/>
    <d v="2017-01-02T00:00:00"/>
    <d v="2017-01-02T00:00:00"/>
    <x v="531"/>
    <m/>
    <n v="5591"/>
    <x v="1039"/>
    <x v="2"/>
  </r>
  <r>
    <x v="22"/>
    <s v="Emitida"/>
    <d v="2016-12-23T00:00:00"/>
    <d v="2016-12-22T00:00:00"/>
    <x v="543"/>
    <m/>
    <n v="1250"/>
    <x v="442"/>
    <x v="2"/>
  </r>
  <r>
    <x v="8"/>
    <s v="Emitida"/>
    <d v="2016-12-23T00:00:00"/>
    <d v="2016-12-23T00:00:00"/>
    <x v="544"/>
    <m/>
    <n v="22128"/>
    <x v="1040"/>
    <x v="2"/>
  </r>
  <r>
    <x v="13"/>
    <s v="Emitida"/>
    <d v="2016-12-23T00:00:00"/>
    <d v="2016-12-23T00:00:00"/>
    <x v="545"/>
    <m/>
    <n v="18886"/>
    <x v="1041"/>
    <x v="2"/>
  </r>
  <r>
    <x v="2"/>
    <s v="Emitida"/>
    <d v="2016-12-23T00:00:00"/>
    <d v="2016-12-23T00:00:00"/>
    <x v="545"/>
    <m/>
    <n v="2117"/>
    <x v="1042"/>
    <x v="2"/>
  </r>
  <r>
    <x v="13"/>
    <s v="Cancela"/>
    <d v="2016-12-23T00:00:00"/>
    <d v="2016-12-23T00:00:00"/>
    <x v="545"/>
    <d v="2016-12-23T00:00:00"/>
    <n v="22696"/>
    <x v="1043"/>
    <x v="2"/>
  </r>
  <r>
    <x v="26"/>
    <s v="Emitida"/>
    <d v="2016-12-22T00:00:00"/>
    <d v="2016-12-22T00:00:00"/>
    <x v="546"/>
    <m/>
    <n v="21306.400000000001"/>
    <x v="1044"/>
    <x v="2"/>
  </r>
  <r>
    <x v="48"/>
    <s v="Emitida"/>
    <d v="2016-12-21T00:00:00"/>
    <d v="2016-12-21T00:00:00"/>
    <x v="547"/>
    <m/>
    <n v="2400"/>
    <x v="1045"/>
    <x v="7"/>
  </r>
  <r>
    <x v="26"/>
    <s v="Emitida"/>
    <d v="2016-12-19T00:00:00"/>
    <d v="2016-12-19T00:00:00"/>
    <x v="548"/>
    <m/>
    <n v="38550.400000000001"/>
    <x v="1046"/>
    <x v="2"/>
  </r>
  <r>
    <x v="26"/>
    <s v="Emitida"/>
    <d v="2016-12-16T00:00:00"/>
    <d v="2016-12-16T00:00:00"/>
    <x v="549"/>
    <m/>
    <n v="3239.24"/>
    <x v="1047"/>
    <x v="2"/>
  </r>
  <r>
    <x v="26"/>
    <s v="Emitida"/>
    <d v="2016-12-16T00:00:00"/>
    <d v="2016-12-16T00:00:00"/>
    <x v="549"/>
    <m/>
    <n v="9705.6"/>
    <x v="1048"/>
    <x v="2"/>
  </r>
  <r>
    <x v="6"/>
    <s v="Emitida"/>
    <d v="2016-12-15T00:00:00"/>
    <d v="2016-12-15T00:00:00"/>
    <x v="550"/>
    <m/>
    <n v="27955"/>
    <x v="1049"/>
    <x v="2"/>
  </r>
  <r>
    <x v="2"/>
    <s v="Emitida"/>
    <d v="2016-12-15T00:00:00"/>
    <d v="2016-12-15T00:00:00"/>
    <x v="550"/>
    <m/>
    <n v="19839"/>
    <x v="1050"/>
    <x v="2"/>
  </r>
  <r>
    <x v="6"/>
    <s v="Emitida"/>
    <d v="2016-12-15T00:00:00"/>
    <d v="2016-12-15T00:00:00"/>
    <x v="550"/>
    <m/>
    <n v="27027"/>
    <x v="1051"/>
    <x v="2"/>
  </r>
  <r>
    <x v="6"/>
    <s v="Emitida"/>
    <d v="2016-12-15T00:00:00"/>
    <d v="2016-12-15T00:00:00"/>
    <x v="550"/>
    <m/>
    <n v="8446"/>
    <x v="965"/>
    <x v="2"/>
  </r>
  <r>
    <x v="6"/>
    <s v="Emitida"/>
    <d v="2016-12-15T00:00:00"/>
    <d v="2016-12-15T00:00:00"/>
    <x v="550"/>
    <m/>
    <n v="47719"/>
    <x v="1052"/>
    <x v="2"/>
  </r>
  <r>
    <x v="6"/>
    <s v="Emitida"/>
    <d v="2016-12-15T00:00:00"/>
    <d v="2016-12-15T00:00:00"/>
    <x v="550"/>
    <m/>
    <n v="47719"/>
    <x v="1052"/>
    <x v="2"/>
  </r>
  <r>
    <x v="6"/>
    <s v="Emitida"/>
    <d v="2016-12-15T00:00:00"/>
    <d v="2016-12-15T00:00:00"/>
    <x v="550"/>
    <m/>
    <n v="47719"/>
    <x v="1052"/>
    <x v="2"/>
  </r>
  <r>
    <x v="6"/>
    <s v="Cancela"/>
    <d v="2016-12-15T00:00:00"/>
    <d v="2016-12-15T00:00:00"/>
    <x v="550"/>
    <d v="2016-12-15T00:00:00"/>
    <n v="47719"/>
    <x v="1052"/>
    <x v="2"/>
  </r>
  <r>
    <x v="26"/>
    <s v="Emitida"/>
    <d v="2016-12-15T00:00:00"/>
    <d v="2016-12-15T00:00:00"/>
    <x v="551"/>
    <m/>
    <n v="54203.9"/>
    <x v="1053"/>
    <x v="2"/>
  </r>
  <r>
    <x v="26"/>
    <s v="Emitida"/>
    <d v="2016-12-15T00:00:00"/>
    <d v="2016-12-15T00:00:00"/>
    <x v="551"/>
    <m/>
    <n v="11238.7"/>
    <x v="1054"/>
    <x v="2"/>
  </r>
  <r>
    <x v="6"/>
    <s v="Emitida"/>
    <d v="2016-12-15T00:00:00"/>
    <d v="2016-12-15T00:00:00"/>
    <x v="550"/>
    <m/>
    <n v="45788"/>
    <x v="1055"/>
    <x v="2"/>
  </r>
  <r>
    <x v="8"/>
    <s v="Emitida"/>
    <d v="2016-12-13T00:00:00"/>
    <d v="2016-12-13T00:00:00"/>
    <x v="552"/>
    <m/>
    <n v="35526.800000000003"/>
    <x v="1056"/>
    <x v="2"/>
  </r>
  <r>
    <x v="38"/>
    <s v="Emitida"/>
    <d v="2016-12-13T00:00:00"/>
    <d v="2016-12-13T00:00:00"/>
    <x v="553"/>
    <m/>
    <n v="1266.04"/>
    <x v="1057"/>
    <x v="2"/>
  </r>
  <r>
    <x v="38"/>
    <s v="Cancela"/>
    <d v="2016-12-13T00:00:00"/>
    <d v="2016-12-13T00:00:00"/>
    <x v="553"/>
    <d v="2016-12-13T00:00:00"/>
    <n v="1266.04"/>
    <x v="1057"/>
    <x v="2"/>
  </r>
  <r>
    <x v="38"/>
    <s v="Cancela"/>
    <d v="2016-12-13T00:00:00"/>
    <d v="2016-12-13T00:00:00"/>
    <x v="553"/>
    <d v="2016-12-13T00:00:00"/>
    <n v="1266.04"/>
    <x v="1057"/>
    <x v="2"/>
  </r>
  <r>
    <x v="10"/>
    <s v="Emitida"/>
    <d v="2016-12-08T00:00:00"/>
    <d v="2016-12-08T00:00:00"/>
    <x v="544"/>
    <m/>
    <n v="58723.199999999997"/>
    <x v="1058"/>
    <x v="2"/>
  </r>
  <r>
    <x v="10"/>
    <s v="Emitida"/>
    <d v="2016-12-08T00:00:00"/>
    <d v="2016-12-08T00:00:00"/>
    <x v="544"/>
    <m/>
    <n v="138774"/>
    <x v="1059"/>
    <x v="2"/>
  </r>
  <r>
    <x v="10"/>
    <s v="Emitida"/>
    <d v="2016-12-08T00:00:00"/>
    <d v="2016-12-08T00:00:00"/>
    <x v="544"/>
    <m/>
    <n v="8680"/>
    <x v="1060"/>
    <x v="2"/>
  </r>
  <r>
    <x v="26"/>
    <s v="Emitida"/>
    <d v="2016-12-07T00:00:00"/>
    <d v="2016-12-07T00:00:00"/>
    <x v="554"/>
    <m/>
    <n v="28611.7"/>
    <x v="1061"/>
    <x v="2"/>
  </r>
  <r>
    <x v="26"/>
    <s v="Emitida"/>
    <d v="2016-12-07T00:00:00"/>
    <d v="2016-12-07T00:00:00"/>
    <x v="554"/>
    <m/>
    <n v="2141.5700000000002"/>
    <x v="1062"/>
    <x v="2"/>
  </r>
  <r>
    <x v="6"/>
    <s v="Emitida"/>
    <d v="2016-12-06T00:00:00"/>
    <d v="2016-12-06T00:00:00"/>
    <x v="555"/>
    <m/>
    <n v="36538"/>
    <x v="1063"/>
    <x v="2"/>
  </r>
  <r>
    <x v="6"/>
    <s v="Emitida"/>
    <d v="2016-12-06T00:00:00"/>
    <d v="2016-12-06T00:00:00"/>
    <x v="555"/>
    <m/>
    <n v="46976.7"/>
    <x v="1064"/>
    <x v="2"/>
  </r>
  <r>
    <x v="6"/>
    <s v="Emitida"/>
    <d v="2016-12-06T00:00:00"/>
    <d v="2016-12-06T00:00:00"/>
    <x v="555"/>
    <m/>
    <n v="46976.7"/>
    <x v="1064"/>
    <x v="2"/>
  </r>
  <r>
    <x v="6"/>
    <s v="Emitida"/>
    <d v="2016-12-06T00:00:00"/>
    <d v="2016-12-06T00:00:00"/>
    <x v="555"/>
    <m/>
    <n v="46976.7"/>
    <x v="1064"/>
    <x v="2"/>
  </r>
  <r>
    <x v="26"/>
    <s v="Emitida"/>
    <d v="2016-12-06T00:00:00"/>
    <d v="2016-12-06T00:00:00"/>
    <x v="556"/>
    <m/>
    <n v="6322.73"/>
    <x v="1065"/>
    <x v="2"/>
  </r>
  <r>
    <x v="26"/>
    <s v="Emitida"/>
    <d v="2016-12-05T00:00:00"/>
    <d v="2016-12-05T00:00:00"/>
    <x v="553"/>
    <m/>
    <n v="15071.1"/>
    <x v="1066"/>
    <x v="2"/>
  </r>
  <r>
    <x v="13"/>
    <s v="Emitida"/>
    <d v="2016-12-05T00:00:00"/>
    <d v="2016-12-05T00:00:00"/>
    <x v="557"/>
    <m/>
    <n v="28470"/>
    <x v="1067"/>
    <x v="2"/>
  </r>
  <r>
    <x v="26"/>
    <s v="Emitida"/>
    <d v="2016-12-05T00:00:00"/>
    <d v="2016-12-05T00:00:00"/>
    <x v="553"/>
    <m/>
    <n v="996"/>
    <x v="1068"/>
    <x v="2"/>
  </r>
  <r>
    <x v="36"/>
    <s v="Emitida"/>
    <d v="2016-12-05T00:00:00"/>
    <d v="2016-12-05T00:00:00"/>
    <x v="558"/>
    <m/>
    <n v="11238"/>
    <x v="1069"/>
    <x v="4"/>
  </r>
  <r>
    <x v="22"/>
    <s v="Emitida"/>
    <d v="2016-12-05T00:00:00"/>
    <d v="2016-12-05T00:00:00"/>
    <x v="559"/>
    <m/>
    <n v="4416"/>
    <x v="1070"/>
    <x v="2"/>
  </r>
  <r>
    <x v="6"/>
    <s v="Emitida"/>
    <d v="2016-12-02T00:00:00"/>
    <d v="2016-12-02T00:00:00"/>
    <x v="560"/>
    <m/>
    <n v="8640"/>
    <x v="1071"/>
    <x v="2"/>
  </r>
  <r>
    <x v="28"/>
    <s v="Emitida"/>
    <d v="2016-12-01T00:00:00"/>
    <d v="2016-12-01T00:00:00"/>
    <x v="561"/>
    <m/>
    <n v="430"/>
    <x v="1072"/>
    <x v="10"/>
  </r>
  <r>
    <x v="26"/>
    <s v="Emitida"/>
    <d v="2016-12-01T00:00:00"/>
    <d v="2016-12-01T00:00:00"/>
    <x v="562"/>
    <m/>
    <n v="880.89"/>
    <x v="1073"/>
    <x v="2"/>
  </r>
  <r>
    <x v="26"/>
    <s v="Emitida"/>
    <d v="2016-12-01T00:00:00"/>
    <d v="2016-12-01T00:00:00"/>
    <x v="562"/>
    <m/>
    <n v="12643.9"/>
    <x v="808"/>
    <x v="2"/>
  </r>
  <r>
    <x v="26"/>
    <s v="Emitida"/>
    <d v="2016-11-30T00:00:00"/>
    <d v="2016-11-30T00:00:00"/>
    <x v="563"/>
    <m/>
    <n v="5425.2"/>
    <x v="1074"/>
    <x v="2"/>
  </r>
  <r>
    <x v="49"/>
    <s v="Emitida"/>
    <d v="2016-11-29T00:00:00"/>
    <d v="2016-11-29T00:00:00"/>
    <x v="556"/>
    <m/>
    <n v="4070"/>
    <x v="1075"/>
    <x v="2"/>
  </r>
  <r>
    <x v="6"/>
    <s v="Emitida"/>
    <d v="2016-11-28T00:00:00"/>
    <d v="2016-11-28T00:00:00"/>
    <x v="564"/>
    <m/>
    <n v="2420"/>
    <x v="977"/>
    <x v="2"/>
  </r>
  <r>
    <x v="2"/>
    <s v="Cancela"/>
    <d v="2016-11-28T00:00:00"/>
    <d v="2016-11-28T00:00:00"/>
    <x v="564"/>
    <d v="2016-11-28T00:00:00"/>
    <n v="7567"/>
    <x v="1076"/>
    <x v="2"/>
  </r>
  <r>
    <x v="26"/>
    <s v="Emitida"/>
    <d v="2016-11-28T00:00:00"/>
    <d v="2016-11-28T00:00:00"/>
    <x v="565"/>
    <m/>
    <n v="7435.65"/>
    <x v="1077"/>
    <x v="2"/>
  </r>
  <r>
    <x v="2"/>
    <s v="Emitida"/>
    <d v="2016-11-28T00:00:00"/>
    <d v="2016-11-28T00:00:00"/>
    <x v="564"/>
    <m/>
    <n v="7910"/>
    <x v="1078"/>
    <x v="2"/>
  </r>
  <r>
    <x v="6"/>
    <s v="Emitida"/>
    <d v="2016-11-24T00:00:00"/>
    <d v="2016-11-24T00:00:00"/>
    <x v="549"/>
    <m/>
    <n v="2124"/>
    <x v="1079"/>
    <x v="2"/>
  </r>
  <r>
    <x v="26"/>
    <s v="Emitida"/>
    <d v="2016-11-24T00:00:00"/>
    <d v="2016-11-24T00:00:00"/>
    <x v="566"/>
    <m/>
    <n v="5909.76"/>
    <x v="1080"/>
    <x v="2"/>
  </r>
  <r>
    <x v="26"/>
    <s v="Emitida"/>
    <d v="2016-11-24T00:00:00"/>
    <d v="2016-11-24T00:00:00"/>
    <x v="566"/>
    <m/>
    <n v="60192.5"/>
    <x v="1081"/>
    <x v="2"/>
  </r>
  <r>
    <x v="12"/>
    <s v="Emitida"/>
    <d v="2016-11-24T00:00:00"/>
    <d v="2016-11-24T00:00:00"/>
    <x v="567"/>
    <m/>
    <n v="1900"/>
    <x v="103"/>
    <x v="2"/>
  </r>
  <r>
    <x v="26"/>
    <s v="Cancela"/>
    <d v="2016-11-24T00:00:00"/>
    <d v="2016-11-24T00:00:00"/>
    <x v="566"/>
    <d v="2016-11-24T00:00:00"/>
    <n v="288"/>
    <x v="1082"/>
    <x v="2"/>
  </r>
  <r>
    <x v="6"/>
    <s v="Emitida"/>
    <d v="2016-11-23T00:00:00"/>
    <d v="2016-11-23T00:00:00"/>
    <x v="551"/>
    <m/>
    <n v="16340"/>
    <x v="1083"/>
    <x v="2"/>
  </r>
  <r>
    <x v="6"/>
    <s v="Emitida"/>
    <d v="2016-11-23T00:00:00"/>
    <d v="2016-11-23T00:00:00"/>
    <x v="551"/>
    <m/>
    <n v="55257"/>
    <x v="1084"/>
    <x v="2"/>
  </r>
  <r>
    <x v="26"/>
    <s v="Emitida"/>
    <d v="2016-11-23T00:00:00"/>
    <d v="2016-11-23T00:00:00"/>
    <x v="568"/>
    <m/>
    <n v="2053.84"/>
    <x v="1085"/>
    <x v="2"/>
  </r>
  <r>
    <x v="6"/>
    <s v="Cancela"/>
    <d v="2016-11-23T00:00:00"/>
    <d v="2016-11-23T00:00:00"/>
    <x v="551"/>
    <d v="2016-11-23T00:00:00"/>
    <n v="58697"/>
    <x v="1086"/>
    <x v="2"/>
  </r>
  <r>
    <x v="13"/>
    <s v="Emitida"/>
    <d v="2016-11-23T00:00:00"/>
    <d v="2016-11-23T00:00:00"/>
    <x v="551"/>
    <m/>
    <n v="24484"/>
    <x v="564"/>
    <x v="2"/>
  </r>
  <r>
    <x v="26"/>
    <s v="Emitida"/>
    <d v="2016-11-22T00:00:00"/>
    <d v="2016-11-22T00:00:00"/>
    <x v="569"/>
    <m/>
    <n v="22986.7"/>
    <x v="1087"/>
    <x v="2"/>
  </r>
  <r>
    <x v="6"/>
    <s v="Emitida"/>
    <d v="2016-11-15T00:00:00"/>
    <d v="2016-11-15T00:00:00"/>
    <x v="554"/>
    <m/>
    <n v="5220"/>
    <x v="1088"/>
    <x v="2"/>
  </r>
  <r>
    <x v="22"/>
    <s v="Emitida"/>
    <d v="2016-11-15T00:00:00"/>
    <d v="2016-11-15T00:00:00"/>
    <x v="569"/>
    <m/>
    <n v="13800"/>
    <x v="1089"/>
    <x v="2"/>
  </r>
  <r>
    <x v="6"/>
    <s v="Emitida"/>
    <d v="2016-11-14T00:00:00"/>
    <d v="2016-11-14T00:00:00"/>
    <x v="556"/>
    <m/>
    <n v="1696"/>
    <x v="1090"/>
    <x v="2"/>
  </r>
  <r>
    <x v="6"/>
    <s v="Emitida"/>
    <d v="2016-11-14T00:00:00"/>
    <d v="2016-11-14T00:00:00"/>
    <x v="556"/>
    <m/>
    <n v="24204"/>
    <x v="1091"/>
    <x v="2"/>
  </r>
  <r>
    <x v="50"/>
    <s v="Emitida"/>
    <d v="2016-11-10T00:00:00"/>
    <d v="2016-11-10T00:00:00"/>
    <x v="570"/>
    <m/>
    <n v="54310.3"/>
    <x v="1092"/>
    <x v="4"/>
  </r>
  <r>
    <x v="51"/>
    <s v="Cancela"/>
    <d v="2016-11-10T00:00:00"/>
    <d v="2016-11-10T00:00:00"/>
    <x v="570"/>
    <d v="2016-11-10T00:00:00"/>
    <n v="54310.3"/>
    <x v="1092"/>
    <x v="7"/>
  </r>
  <r>
    <x v="50"/>
    <s v="Cancela"/>
    <d v="2016-11-10T00:00:00"/>
    <d v="2016-11-10T00:00:00"/>
    <x v="570"/>
    <d v="2016-11-10T00:00:00"/>
    <n v="54310.3"/>
    <x v="1092"/>
    <x v="7"/>
  </r>
  <r>
    <x v="8"/>
    <s v="Emitida"/>
    <d v="2016-11-09T00:00:00"/>
    <d v="2016-11-09T00:00:00"/>
    <x v="549"/>
    <m/>
    <n v="19146"/>
    <x v="1093"/>
    <x v="2"/>
  </r>
  <r>
    <x v="29"/>
    <s v="Emitida"/>
    <d v="2016-11-08T00:00:00"/>
    <d v="2016-11-08T00:00:00"/>
    <x v="571"/>
    <m/>
    <n v="77064.100000000006"/>
    <x v="1094"/>
    <x v="10"/>
  </r>
  <r>
    <x v="6"/>
    <s v="Emitida"/>
    <d v="2016-11-03T00:00:00"/>
    <d v="2016-11-03T00:00:00"/>
    <x v="561"/>
    <m/>
    <n v="2700"/>
    <x v="1095"/>
    <x v="2"/>
  </r>
  <r>
    <x v="6"/>
    <s v="Emitida"/>
    <d v="2016-11-03T00:00:00"/>
    <d v="2016-11-03T00:00:00"/>
    <x v="561"/>
    <m/>
    <n v="25766"/>
    <x v="1096"/>
    <x v="2"/>
  </r>
  <r>
    <x v="6"/>
    <s v="Emitida"/>
    <d v="2016-11-03T00:00:00"/>
    <d v="2016-11-03T00:00:00"/>
    <x v="561"/>
    <m/>
    <n v="42642"/>
    <x v="1097"/>
    <x v="2"/>
  </r>
  <r>
    <x v="6"/>
    <s v="Emitida"/>
    <d v="2016-11-03T00:00:00"/>
    <d v="2016-11-03T00:00:00"/>
    <x v="561"/>
    <m/>
    <n v="19457"/>
    <x v="1098"/>
    <x v="2"/>
  </r>
  <r>
    <x v="13"/>
    <s v="Emitida"/>
    <d v="2016-11-01T00:00:00"/>
    <d v="2016-11-01T00:00:00"/>
    <x v="568"/>
    <m/>
    <n v="9264"/>
    <x v="1099"/>
    <x v="2"/>
  </r>
  <r>
    <x v="2"/>
    <s v="Emitida"/>
    <d v="2016-10-31T00:00:00"/>
    <d v="2016-10-31T00:00:00"/>
    <x v="569"/>
    <m/>
    <n v="1944"/>
    <x v="1100"/>
    <x v="2"/>
  </r>
  <r>
    <x v="6"/>
    <s v="Emitida"/>
    <d v="2016-10-31T00:00:00"/>
    <d v="2016-10-31T00:00:00"/>
    <x v="569"/>
    <m/>
    <n v="5612"/>
    <x v="272"/>
    <x v="2"/>
  </r>
  <r>
    <x v="52"/>
    <s v="Emitida"/>
    <d v="2016-10-28T00:00:00"/>
    <d v="2016-10-28T00:00:00"/>
    <x v="572"/>
    <m/>
    <n v="25340"/>
    <x v="1101"/>
    <x v="10"/>
  </r>
  <r>
    <x v="26"/>
    <s v="Emitida"/>
    <d v="2016-10-28T00:00:00"/>
    <d v="2016-10-28T00:00:00"/>
    <x v="573"/>
    <m/>
    <n v="20097.2"/>
    <x v="1102"/>
    <x v="2"/>
  </r>
  <r>
    <x v="6"/>
    <s v="Emitida"/>
    <d v="2016-10-26T00:00:00"/>
    <d v="2016-10-26T00:00:00"/>
    <x v="574"/>
    <m/>
    <n v="2874"/>
    <x v="1103"/>
    <x v="2"/>
  </r>
  <r>
    <x v="28"/>
    <s v="Emitida"/>
    <d v="2016-10-26T00:00:00"/>
    <d v="2016-10-26T00:00:00"/>
    <x v="575"/>
    <m/>
    <n v="2144"/>
    <x v="1104"/>
    <x v="10"/>
  </r>
  <r>
    <x v="6"/>
    <s v="Emitida"/>
    <d v="2016-10-25T00:00:00"/>
    <d v="2016-10-25T00:00:00"/>
    <x v="567"/>
    <m/>
    <n v="3031"/>
    <x v="1105"/>
    <x v="2"/>
  </r>
  <r>
    <x v="22"/>
    <s v="Emitida"/>
    <d v="2016-10-24T00:00:00"/>
    <d v="2016-10-24T00:00:00"/>
    <x v="576"/>
    <m/>
    <n v="765"/>
    <x v="1106"/>
    <x v="2"/>
  </r>
  <r>
    <x v="13"/>
    <s v="Emitida"/>
    <d v="2016-10-24T00:00:00"/>
    <d v="2016-10-24T00:00:00"/>
    <x v="577"/>
    <m/>
    <n v="19026.099999999999"/>
    <x v="1107"/>
    <x v="2"/>
  </r>
  <r>
    <x v="36"/>
    <s v="Emitida"/>
    <d v="2016-10-20T00:00:00"/>
    <d v="2016-10-20T00:00:00"/>
    <x v="578"/>
    <m/>
    <n v="532"/>
    <x v="1108"/>
    <x v="4"/>
  </r>
  <r>
    <x v="6"/>
    <s v="Emitida"/>
    <d v="2016-10-19T00:00:00"/>
    <d v="2016-10-18T00:00:00"/>
    <x v="579"/>
    <m/>
    <n v="747"/>
    <x v="1109"/>
    <x v="2"/>
  </r>
  <r>
    <x v="26"/>
    <s v="Emitida"/>
    <d v="2016-10-18T00:00:00"/>
    <d v="2016-10-18T00:00:00"/>
    <x v="580"/>
    <m/>
    <n v="30881.599999999999"/>
    <x v="1110"/>
    <x v="2"/>
  </r>
  <r>
    <x v="6"/>
    <s v="Emitida"/>
    <d v="2016-10-14T00:00:00"/>
    <d v="2016-10-14T00:00:00"/>
    <x v="581"/>
    <m/>
    <n v="2520"/>
    <x v="1111"/>
    <x v="2"/>
  </r>
  <r>
    <x v="26"/>
    <s v="Emitida"/>
    <d v="2016-10-12T00:00:00"/>
    <d v="2016-10-12T00:00:00"/>
    <x v="582"/>
    <m/>
    <n v="16055.1"/>
    <x v="1112"/>
    <x v="2"/>
  </r>
  <r>
    <x v="2"/>
    <s v="Emitida"/>
    <d v="2016-10-12T00:00:00"/>
    <d v="2016-10-12T00:00:00"/>
    <x v="583"/>
    <m/>
    <n v="14616"/>
    <x v="1113"/>
    <x v="2"/>
  </r>
  <r>
    <x v="26"/>
    <s v="Emitida"/>
    <d v="2016-10-11T00:00:00"/>
    <d v="2016-10-11T00:00:00"/>
    <x v="584"/>
    <m/>
    <n v="33472.9"/>
    <x v="1114"/>
    <x v="2"/>
  </r>
  <r>
    <x v="13"/>
    <s v="Emitida"/>
    <d v="2016-10-10T00:00:00"/>
    <d v="2016-10-10T00:00:00"/>
    <x v="585"/>
    <m/>
    <n v="14042"/>
    <x v="1115"/>
    <x v="2"/>
  </r>
  <r>
    <x v="26"/>
    <s v="Emitida"/>
    <d v="2016-10-10T00:00:00"/>
    <d v="2016-10-10T00:00:00"/>
    <x v="586"/>
    <m/>
    <n v="47572.800000000003"/>
    <x v="1116"/>
    <x v="2"/>
  </r>
  <r>
    <x v="26"/>
    <s v="Emitida"/>
    <d v="2016-10-10T00:00:00"/>
    <d v="2016-10-10T00:00:00"/>
    <x v="586"/>
    <m/>
    <n v="3109.95"/>
    <x v="1117"/>
    <x v="2"/>
  </r>
  <r>
    <x v="26"/>
    <s v="Emitida"/>
    <d v="2016-10-10T00:00:00"/>
    <d v="2016-10-10T00:00:00"/>
    <x v="586"/>
    <m/>
    <n v="2111.7800000000002"/>
    <x v="1118"/>
    <x v="2"/>
  </r>
  <r>
    <x v="24"/>
    <s v="Emitida"/>
    <d v="2016-10-10T00:00:00"/>
    <d v="2016-10-10T00:00:00"/>
    <x v="586"/>
    <m/>
    <n v="10525.2"/>
    <x v="1119"/>
    <x v="2"/>
  </r>
  <r>
    <x v="24"/>
    <s v="Cancela"/>
    <d v="2016-10-10T00:00:00"/>
    <d v="2016-10-10T00:00:00"/>
    <x v="586"/>
    <d v="2016-10-10T00:00:00"/>
    <n v="10197.1"/>
    <x v="1120"/>
    <x v="2"/>
  </r>
  <r>
    <x v="6"/>
    <s v="Emitida"/>
    <d v="2016-10-10T00:00:00"/>
    <d v="2016-10-10T00:00:00"/>
    <x v="585"/>
    <m/>
    <n v="21993"/>
    <x v="1121"/>
    <x v="2"/>
  </r>
  <r>
    <x v="29"/>
    <s v="Emitida"/>
    <d v="2016-10-03T00:00:00"/>
    <d v="2016-10-03T00:00:00"/>
    <x v="587"/>
    <m/>
    <n v="16066"/>
    <x v="1122"/>
    <x v="10"/>
  </r>
  <r>
    <x v="26"/>
    <s v="Emitida"/>
    <d v="2016-10-03T00:00:00"/>
    <d v="2016-10-03T00:00:00"/>
    <x v="588"/>
    <m/>
    <n v="70436.899999999994"/>
    <x v="1123"/>
    <x v="2"/>
  </r>
  <r>
    <x v="6"/>
    <s v="Emitida"/>
    <d v="2016-09-30T00:00:00"/>
    <d v="2016-09-30T00:00:00"/>
    <x v="589"/>
    <m/>
    <n v="1162"/>
    <x v="1124"/>
    <x v="2"/>
  </r>
  <r>
    <x v="6"/>
    <s v="Cancela"/>
    <d v="2016-09-30T00:00:00"/>
    <d v="2016-09-30T00:00:00"/>
    <x v="589"/>
    <d v="2016-09-30T00:00:00"/>
    <n v="1628"/>
    <x v="1125"/>
    <x v="2"/>
  </r>
  <r>
    <x v="6"/>
    <s v="Devuelta"/>
    <d v="2016-09-29T00:00:00"/>
    <d v="2016-09-29T00:00:00"/>
    <x v="590"/>
    <m/>
    <n v="5888"/>
    <x v="1126"/>
    <x v="2"/>
  </r>
  <r>
    <x v="2"/>
    <s v="Emitida"/>
    <d v="2016-09-29T00:00:00"/>
    <d v="2016-09-29T00:00:00"/>
    <x v="590"/>
    <m/>
    <n v="9550"/>
    <x v="1127"/>
    <x v="2"/>
  </r>
  <r>
    <x v="26"/>
    <s v="Emitida"/>
    <d v="2016-09-28T00:00:00"/>
    <d v="2016-09-28T00:00:00"/>
    <x v="591"/>
    <m/>
    <n v="28208.9"/>
    <x v="1128"/>
    <x v="2"/>
  </r>
  <r>
    <x v="26"/>
    <s v="Emitida"/>
    <d v="2016-09-27T00:00:00"/>
    <d v="2016-09-27T00:00:00"/>
    <x v="592"/>
    <m/>
    <n v="49282.6"/>
    <x v="1129"/>
    <x v="2"/>
  </r>
  <r>
    <x v="6"/>
    <s v="Cancela"/>
    <d v="2016-09-27T00:00:00"/>
    <d v="2016-09-27T00:00:00"/>
    <x v="578"/>
    <d v="2016-09-27T00:00:00"/>
    <n v="7036"/>
    <x v="1130"/>
    <x v="2"/>
  </r>
  <r>
    <x v="22"/>
    <s v="Emitida"/>
    <d v="2016-09-26T00:00:00"/>
    <d v="2016-09-26T00:00:00"/>
    <x v="588"/>
    <m/>
    <n v="1410"/>
    <x v="1131"/>
    <x v="2"/>
  </r>
  <r>
    <x v="22"/>
    <s v="Cancela"/>
    <d v="2016-09-26T00:00:00"/>
    <d v="2016-09-26T00:00:00"/>
    <x v="588"/>
    <d v="2016-09-26T00:00:00"/>
    <n v="1290"/>
    <x v="1132"/>
    <x v="2"/>
  </r>
  <r>
    <x v="6"/>
    <s v="Emitida"/>
    <d v="2016-09-21T00:00:00"/>
    <d v="2016-09-21T00:00:00"/>
    <x v="593"/>
    <m/>
    <n v="2700"/>
    <x v="1095"/>
    <x v="2"/>
  </r>
  <r>
    <x v="13"/>
    <s v="Emitida"/>
    <d v="2016-09-21T00:00:00"/>
    <d v="2016-09-21T00:00:00"/>
    <x v="593"/>
    <m/>
    <n v="13494"/>
    <x v="1133"/>
    <x v="2"/>
  </r>
  <r>
    <x v="29"/>
    <s v="Emitida"/>
    <d v="2016-09-20T00:00:00"/>
    <d v="2016-09-20T00:00:00"/>
    <x v="594"/>
    <m/>
    <n v="45030"/>
    <x v="1134"/>
    <x v="10"/>
  </r>
  <r>
    <x v="29"/>
    <s v="Cancela"/>
    <d v="2016-09-20T00:00:00"/>
    <d v="2016-09-20T00:00:00"/>
    <x v="594"/>
    <d v="2016-09-20T00:00:00"/>
    <n v="45030"/>
    <x v="1134"/>
    <x v="10"/>
  </r>
  <r>
    <x v="2"/>
    <s v="Emitida"/>
    <d v="2016-09-14T00:00:00"/>
    <d v="2016-09-14T00:00:00"/>
    <x v="595"/>
    <m/>
    <n v="4198"/>
    <x v="1135"/>
    <x v="2"/>
  </r>
  <r>
    <x v="28"/>
    <s v="Emitida"/>
    <d v="2016-09-13T00:00:00"/>
    <d v="2016-09-13T00:00:00"/>
    <x v="596"/>
    <m/>
    <n v="528"/>
    <x v="1136"/>
    <x v="10"/>
  </r>
  <r>
    <x v="53"/>
    <s v="Emitida"/>
    <d v="2016-09-07T00:00:00"/>
    <d v="2016-09-07T00:00:00"/>
    <x v="597"/>
    <m/>
    <n v="27000"/>
    <x v="827"/>
    <x v="10"/>
  </r>
  <r>
    <x v="28"/>
    <s v="Emitida"/>
    <d v="2016-09-07T00:00:00"/>
    <d v="2016-09-07T00:00:00"/>
    <x v="598"/>
    <m/>
    <n v="1924"/>
    <x v="1137"/>
    <x v="10"/>
  </r>
  <r>
    <x v="2"/>
    <s v="Emitida"/>
    <d v="2016-09-07T00:00:00"/>
    <d v="2016-09-07T00:00:00"/>
    <x v="599"/>
    <m/>
    <n v="6504"/>
    <x v="1138"/>
    <x v="2"/>
  </r>
  <r>
    <x v="8"/>
    <s v="Emitida"/>
    <d v="2016-09-06T00:00:00"/>
    <d v="2016-09-06T00:00:00"/>
    <x v="593"/>
    <m/>
    <n v="26757"/>
    <x v="1139"/>
    <x v="2"/>
  </r>
  <r>
    <x v="26"/>
    <s v="Emitida"/>
    <d v="2016-09-06T00:00:00"/>
    <d v="2016-09-06T00:00:00"/>
    <x v="600"/>
    <m/>
    <n v="9733.7999999999993"/>
    <x v="1140"/>
    <x v="2"/>
  </r>
  <r>
    <x v="10"/>
    <s v="Emitida"/>
    <d v="2016-09-06T00:00:00"/>
    <d v="2016-09-06T00:00:00"/>
    <x v="573"/>
    <m/>
    <n v="201714"/>
    <x v="1141"/>
    <x v="2"/>
  </r>
  <r>
    <x v="10"/>
    <s v="Emitida"/>
    <d v="2016-09-06T00:00:00"/>
    <d v="2016-09-06T00:00:00"/>
    <x v="573"/>
    <m/>
    <n v="4780"/>
    <x v="1142"/>
    <x v="2"/>
  </r>
  <r>
    <x v="26"/>
    <s v="Emitida"/>
    <d v="2016-09-05T00:00:00"/>
    <d v="2016-09-05T00:00:00"/>
    <x v="601"/>
    <m/>
    <n v="4410.8999999999996"/>
    <x v="1143"/>
    <x v="2"/>
  </r>
  <r>
    <x v="26"/>
    <s v="Emitida"/>
    <d v="2016-09-05T00:00:00"/>
    <d v="2016-09-05T00:00:00"/>
    <x v="601"/>
    <m/>
    <n v="2450.5"/>
    <x v="1144"/>
    <x v="2"/>
  </r>
  <r>
    <x v="26"/>
    <s v="Emitida"/>
    <d v="2016-09-05T00:00:00"/>
    <d v="2016-09-05T00:00:00"/>
    <x v="601"/>
    <m/>
    <n v="4410.8999999999996"/>
    <x v="1143"/>
    <x v="2"/>
  </r>
  <r>
    <x v="26"/>
    <s v="Emitida"/>
    <d v="2016-09-05T00:00:00"/>
    <d v="2016-09-05T00:00:00"/>
    <x v="601"/>
    <m/>
    <n v="1225.25"/>
    <x v="1145"/>
    <x v="2"/>
  </r>
  <r>
    <x v="26"/>
    <s v="Emitida"/>
    <d v="2016-09-05T00:00:00"/>
    <d v="2016-09-05T00:00:00"/>
    <x v="601"/>
    <m/>
    <n v="34146.699999999997"/>
    <x v="1146"/>
    <x v="2"/>
  </r>
  <r>
    <x v="13"/>
    <s v="Emitida"/>
    <d v="2016-09-01T00:00:00"/>
    <d v="2016-09-01T00:00:00"/>
    <x v="602"/>
    <m/>
    <n v="14066"/>
    <x v="1147"/>
    <x v="2"/>
  </r>
  <r>
    <x v="54"/>
    <s v="Emitida"/>
    <d v="2016-08-31T00:00:00"/>
    <d v="2016-08-31T00:00:00"/>
    <x v="596"/>
    <m/>
    <n v="613"/>
    <x v="1148"/>
    <x v="4"/>
  </r>
  <r>
    <x v="54"/>
    <s v="Emitida"/>
    <d v="2016-08-30T00:00:00"/>
    <d v="2016-08-30T00:00:00"/>
    <x v="600"/>
    <m/>
    <n v="4384"/>
    <x v="1149"/>
    <x v="2"/>
  </r>
  <r>
    <x v="54"/>
    <s v="Cancela"/>
    <d v="2016-08-30T00:00:00"/>
    <d v="2016-08-30T00:00:00"/>
    <x v="600"/>
    <d v="2016-08-30T00:00:00"/>
    <n v="4384"/>
    <x v="1149"/>
    <x v="10"/>
  </r>
  <r>
    <x v="26"/>
    <s v="Emitida"/>
    <d v="2016-08-26T00:00:00"/>
    <d v="2016-08-26T00:00:00"/>
    <x v="603"/>
    <m/>
    <n v="39189.4"/>
    <x v="1150"/>
    <x v="2"/>
  </r>
  <r>
    <x v="26"/>
    <s v="Emitida"/>
    <d v="2016-08-26T00:00:00"/>
    <d v="2016-08-26T00:00:00"/>
    <x v="603"/>
    <m/>
    <n v="28670"/>
    <x v="121"/>
    <x v="2"/>
  </r>
  <r>
    <x v="13"/>
    <s v="Emitida"/>
    <d v="2016-08-24T00:00:00"/>
    <d v="2016-08-24T00:00:00"/>
    <x v="604"/>
    <m/>
    <n v="13720"/>
    <x v="1151"/>
    <x v="2"/>
  </r>
  <r>
    <x v="13"/>
    <s v="Emitida"/>
    <d v="2016-08-23T00:00:00"/>
    <d v="2016-08-23T00:00:00"/>
    <x v="597"/>
    <m/>
    <n v="23427"/>
    <x v="1152"/>
    <x v="2"/>
  </r>
  <r>
    <x v="26"/>
    <s v="Emitida"/>
    <d v="2016-08-22T00:00:00"/>
    <d v="2016-08-22T00:00:00"/>
    <x v="605"/>
    <m/>
    <n v="9786.4500000000007"/>
    <x v="115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x v="0"/>
    <s v="Emitida"/>
    <d v="2019-08-21T00:00:00"/>
    <d v="2019-08-21T00:00:00"/>
    <d v="2019-08-28T00:00:00"/>
    <m/>
    <n v="1458"/>
    <x v="0"/>
    <x v="0"/>
  </r>
  <r>
    <x v="1"/>
    <s v="Emitida"/>
    <d v="2019-08-21T00:00:00"/>
    <d v="2019-08-21T00:00:00"/>
    <d v="2019-09-20T00:00:00"/>
    <m/>
    <n v="105432"/>
    <x v="1"/>
    <x v="0"/>
  </r>
  <r>
    <x v="2"/>
    <s v="Emitida"/>
    <d v="2019-08-21T00:00:00"/>
    <d v="2019-08-21T00:00:00"/>
    <d v="2019-09-20T00:00:00"/>
    <m/>
    <n v="3065"/>
    <x v="2"/>
    <x v="0"/>
  </r>
  <r>
    <x v="0"/>
    <s v="Emitida"/>
    <d v="2019-08-20T00:00:00"/>
    <d v="2019-08-15T00:00:00"/>
    <d v="2019-08-27T00:00:00"/>
    <m/>
    <n v="1236"/>
    <x v="3"/>
    <x v="0"/>
  </r>
  <r>
    <x v="3"/>
    <s v="Emitida"/>
    <d v="2019-08-19T00:00:00"/>
    <d v="2019-08-19T00:00:00"/>
    <d v="2019-09-08T00:00:00"/>
    <m/>
    <n v="9133.2000000000007"/>
    <x v="4"/>
    <x v="0"/>
  </r>
  <r>
    <x v="4"/>
    <s v="Emitida"/>
    <d v="2019-08-16T00:00:00"/>
    <d v="2019-08-16T00:00:00"/>
    <d v="2019-08-31T00:00:00"/>
    <m/>
    <n v="69960"/>
    <x v="5"/>
    <x v="0"/>
  </r>
  <r>
    <x v="5"/>
    <s v="Emitida"/>
    <d v="2019-08-15T00:00:00"/>
    <d v="2019-08-15T00:00:00"/>
    <d v="2019-09-29T00:00:00"/>
    <m/>
    <n v="31069"/>
    <x v="6"/>
    <x v="0"/>
  </r>
  <r>
    <x v="6"/>
    <s v="Emitida"/>
    <d v="2019-08-15T00:00:00"/>
    <d v="2019-08-15T00:00:00"/>
    <d v="2019-09-14T00:00:00"/>
    <m/>
    <n v="12496"/>
    <x v="7"/>
    <x v="0"/>
  </r>
  <r>
    <x v="7"/>
    <s v="Emitida"/>
    <d v="2019-08-13T00:00:00"/>
    <d v="2019-08-13T00:00:00"/>
    <d v="2019-08-28T00:00:00"/>
    <m/>
    <n v="2176"/>
    <x v="8"/>
    <x v="0"/>
  </r>
  <r>
    <x v="3"/>
    <s v="Emitida"/>
    <d v="2019-08-13T00:00:00"/>
    <d v="2019-08-13T00:00:00"/>
    <d v="2019-09-02T00:00:00"/>
    <m/>
    <n v="3018.6"/>
    <x v="9"/>
    <x v="0"/>
  </r>
  <r>
    <x v="7"/>
    <s v="Emitida"/>
    <d v="2019-08-12T00:00:00"/>
    <d v="2019-07-26T00:00:00"/>
    <d v="2019-08-27T00:00:00"/>
    <m/>
    <n v="39406"/>
    <x v="10"/>
    <x v="0"/>
  </r>
  <r>
    <x v="7"/>
    <s v="Emitida"/>
    <d v="2019-08-12T00:00:00"/>
    <d v="2019-07-24T00:00:00"/>
    <d v="2019-08-27T00:00:00"/>
    <m/>
    <n v="5349"/>
    <x v="11"/>
    <x v="0"/>
  </r>
  <r>
    <x v="7"/>
    <s v="Emitida"/>
    <d v="2019-08-12T00:00:00"/>
    <d v="2019-07-23T00:00:00"/>
    <d v="2019-08-27T00:00:00"/>
    <m/>
    <n v="44895"/>
    <x v="12"/>
    <x v="0"/>
  </r>
  <r>
    <x v="7"/>
    <s v="Emitida"/>
    <d v="2019-08-12T00:00:00"/>
    <d v="2019-07-19T00:00:00"/>
    <d v="2019-08-27T00:00:00"/>
    <m/>
    <n v="10584"/>
    <x v="13"/>
    <x v="0"/>
  </r>
  <r>
    <x v="7"/>
    <s v="Emitida"/>
    <d v="2019-08-12T00:00:00"/>
    <d v="2019-07-18T00:00:00"/>
    <d v="2019-08-27T00:00:00"/>
    <m/>
    <n v="14579"/>
    <x v="14"/>
    <x v="0"/>
  </r>
  <r>
    <x v="7"/>
    <s v="Emitida"/>
    <d v="2019-08-12T00:00:00"/>
    <d v="2019-07-18T00:00:00"/>
    <d v="2019-08-27T00:00:00"/>
    <m/>
    <n v="39265"/>
    <x v="15"/>
    <x v="0"/>
  </r>
  <r>
    <x v="7"/>
    <s v="Emitida"/>
    <d v="2019-08-12T00:00:00"/>
    <d v="2019-07-18T00:00:00"/>
    <d v="2019-08-27T00:00:00"/>
    <m/>
    <n v="2811"/>
    <x v="16"/>
    <x v="0"/>
  </r>
  <r>
    <x v="7"/>
    <s v="Emitida"/>
    <d v="2019-08-12T00:00:00"/>
    <d v="2019-07-18T00:00:00"/>
    <d v="2019-08-27T00:00:00"/>
    <m/>
    <n v="31724"/>
    <x v="17"/>
    <x v="0"/>
  </r>
  <r>
    <x v="7"/>
    <s v="Emitida"/>
    <d v="2019-08-12T00:00:00"/>
    <d v="2019-07-18T00:00:00"/>
    <d v="2019-08-27T00:00:00"/>
    <m/>
    <n v="34277"/>
    <x v="18"/>
    <x v="0"/>
  </r>
  <r>
    <x v="6"/>
    <s v="Emitida"/>
    <d v="2019-08-08T00:00:00"/>
    <d v="2019-08-08T00:00:00"/>
    <d v="2019-09-07T00:00:00"/>
    <m/>
    <n v="16480"/>
    <x v="19"/>
    <x v="0"/>
  </r>
  <r>
    <x v="5"/>
    <s v="Emitida"/>
    <d v="2019-08-08T00:00:00"/>
    <d v="2019-08-08T00:00:00"/>
    <d v="2019-09-22T00:00:00"/>
    <m/>
    <n v="62138"/>
    <x v="20"/>
    <x v="0"/>
  </r>
  <r>
    <x v="8"/>
    <s v="Emitida"/>
    <d v="2019-08-08T00:00:00"/>
    <d v="2019-08-06T00:00:00"/>
    <d v="2019-09-22T00:00:00"/>
    <m/>
    <n v="18302"/>
    <x v="21"/>
    <x v="0"/>
  </r>
  <r>
    <x v="6"/>
    <s v="Emitida"/>
    <d v="2019-08-07T00:00:00"/>
    <d v="2019-08-06T00:00:00"/>
    <d v="2019-09-06T00:00:00"/>
    <m/>
    <n v="13805"/>
    <x v="22"/>
    <x v="0"/>
  </r>
  <r>
    <x v="3"/>
    <s v="Emitida"/>
    <d v="2019-08-06T00:00:00"/>
    <d v="2019-08-06T00:00:00"/>
    <d v="2019-08-26T00:00:00"/>
    <m/>
    <n v="52186.9"/>
    <x v="23"/>
    <x v="0"/>
  </r>
  <r>
    <x v="7"/>
    <s v="Emitida"/>
    <d v="2019-08-05T00:00:00"/>
    <d v="2019-08-05T00:00:00"/>
    <d v="2019-08-20T00:00:00"/>
    <m/>
    <n v="179"/>
    <x v="24"/>
    <x v="0"/>
  </r>
  <r>
    <x v="4"/>
    <s v="Emitida"/>
    <d v="2019-08-02T00:00:00"/>
    <d v="2019-08-02T00:00:00"/>
    <d v="2019-08-17T00:00:00"/>
    <m/>
    <n v="71070"/>
    <x v="25"/>
    <x v="0"/>
  </r>
  <r>
    <x v="3"/>
    <s v="Emitida"/>
    <d v="2019-08-02T00:00:00"/>
    <d v="2019-08-01T00:00:00"/>
    <d v="2019-08-22T00:00:00"/>
    <m/>
    <n v="10100.700000000001"/>
    <x v="26"/>
    <x v="0"/>
  </r>
  <r>
    <x v="3"/>
    <s v="Emitida"/>
    <d v="2019-07-31T00:00:00"/>
    <d v="2019-07-31T00:00:00"/>
    <d v="2019-08-20T00:00:00"/>
    <m/>
    <n v="11661"/>
    <x v="27"/>
    <x v="0"/>
  </r>
  <r>
    <x v="9"/>
    <s v="Emitida"/>
    <d v="2019-07-30T00:00:00"/>
    <d v="2019-07-30T00:00:00"/>
    <d v="2019-08-06T00:00:00"/>
    <m/>
    <n v="2688"/>
    <x v="28"/>
    <x v="0"/>
  </r>
  <r>
    <x v="2"/>
    <s v="Emitida"/>
    <d v="2019-07-29T00:00:00"/>
    <d v="2019-07-29T00:00:00"/>
    <d v="2019-08-28T00:00:00"/>
    <m/>
    <n v="2200"/>
    <x v="29"/>
    <x v="0"/>
  </r>
  <r>
    <x v="2"/>
    <s v="Emitida"/>
    <d v="2019-07-29T00:00:00"/>
    <d v="2019-07-29T00:00:00"/>
    <d v="2019-08-28T00:00:00"/>
    <m/>
    <n v="880"/>
    <x v="30"/>
    <x v="0"/>
  </r>
  <r>
    <x v="3"/>
    <s v="Emitida"/>
    <d v="2019-07-29T00:00:00"/>
    <d v="2019-07-29T00:00:00"/>
    <d v="2019-08-18T00:00:00"/>
    <m/>
    <n v="55341"/>
    <x v="31"/>
    <x v="0"/>
  </r>
  <r>
    <x v="6"/>
    <s v="Emitida"/>
    <d v="2019-07-29T00:00:00"/>
    <d v="2019-07-29T00:00:00"/>
    <d v="2019-08-28T00:00:00"/>
    <m/>
    <n v="34848"/>
    <x v="32"/>
    <x v="0"/>
  </r>
  <r>
    <x v="10"/>
    <s v="Emitida"/>
    <d v="2019-07-29T00:00:00"/>
    <d v="2019-07-29T00:00:00"/>
    <d v="2019-08-28T00:00:00"/>
    <m/>
    <n v="800"/>
    <x v="33"/>
    <x v="0"/>
  </r>
  <r>
    <x v="4"/>
    <s v="Emitida"/>
    <d v="2019-07-25T00:00:00"/>
    <d v="2019-07-25T00:00:00"/>
    <d v="2019-08-09T00:00:00"/>
    <m/>
    <n v="35535"/>
    <x v="34"/>
    <x v="0"/>
  </r>
  <r>
    <x v="8"/>
    <s v="Emitida"/>
    <d v="2019-07-22T00:00:00"/>
    <d v="2019-07-22T00:00:00"/>
    <d v="2019-09-05T00:00:00"/>
    <m/>
    <n v="48170"/>
    <x v="35"/>
    <x v="0"/>
  </r>
  <r>
    <x v="4"/>
    <s v="Emitida"/>
    <d v="2019-07-22T00:00:00"/>
    <d v="2019-07-22T00:00:00"/>
    <d v="2019-08-06T00:00:00"/>
    <m/>
    <n v="8500"/>
    <x v="36"/>
    <x v="0"/>
  </r>
  <r>
    <x v="3"/>
    <s v="Emitida"/>
    <d v="2019-07-22T00:00:00"/>
    <d v="2019-07-22T00:00:00"/>
    <d v="2019-08-11T00:00:00"/>
    <m/>
    <n v="6669"/>
    <x v="37"/>
    <x v="0"/>
  </r>
  <r>
    <x v="11"/>
    <s v="Emitida"/>
    <d v="2019-07-22T00:00:00"/>
    <d v="2019-07-22T00:00:00"/>
    <d v="2019-09-20T00:00:00"/>
    <m/>
    <n v="2500"/>
    <x v="38"/>
    <x v="0"/>
  </r>
  <r>
    <x v="3"/>
    <s v="Emitida"/>
    <d v="2019-07-19T00:00:00"/>
    <d v="2019-07-19T00:00:00"/>
    <d v="2019-08-08T00:00:00"/>
    <m/>
    <n v="25400.1"/>
    <x v="39"/>
    <x v="0"/>
  </r>
  <r>
    <x v="6"/>
    <s v="Emitida"/>
    <d v="2019-07-18T00:00:00"/>
    <d v="2019-07-18T00:00:00"/>
    <d v="2019-08-17T00:00:00"/>
    <m/>
    <n v="27884"/>
    <x v="40"/>
    <x v="0"/>
  </r>
  <r>
    <x v="6"/>
    <s v="Emitida"/>
    <d v="2019-07-18T00:00:00"/>
    <d v="2019-07-18T00:00:00"/>
    <d v="2019-08-17T00:00:00"/>
    <m/>
    <n v="22431"/>
    <x v="41"/>
    <x v="0"/>
  </r>
  <r>
    <x v="6"/>
    <s v="Emitida"/>
    <d v="2019-07-18T00:00:00"/>
    <d v="2019-07-18T00:00:00"/>
    <d v="2019-08-17T00:00:00"/>
    <m/>
    <n v="22003"/>
    <x v="42"/>
    <x v="0"/>
  </r>
  <r>
    <x v="12"/>
    <s v="Emitida"/>
    <d v="2019-07-17T00:00:00"/>
    <d v="2019-07-17T00:00:00"/>
    <d v="2019-07-17T00:00:00"/>
    <m/>
    <n v="3297"/>
    <x v="43"/>
    <x v="0"/>
  </r>
  <r>
    <x v="9"/>
    <s v="Emitida"/>
    <d v="2019-07-17T00:00:00"/>
    <d v="2019-07-17T00:00:00"/>
    <d v="2019-07-24T00:00:00"/>
    <m/>
    <n v="5520"/>
    <x v="44"/>
    <x v="0"/>
  </r>
  <r>
    <x v="13"/>
    <s v="Emitida"/>
    <d v="2019-07-17T00:00:00"/>
    <d v="2019-07-17T00:00:00"/>
    <d v="2019-08-16T00:00:00"/>
    <m/>
    <n v="6124"/>
    <x v="45"/>
    <x v="0"/>
  </r>
  <r>
    <x v="6"/>
    <s v="Emitida"/>
    <d v="2019-07-16T00:00:00"/>
    <d v="2019-07-16T00:00:00"/>
    <d v="2019-08-15T00:00:00"/>
    <m/>
    <n v="46904"/>
    <x v="46"/>
    <x v="0"/>
  </r>
  <r>
    <x v="6"/>
    <s v="Emitida"/>
    <d v="2019-07-16T00:00:00"/>
    <d v="2019-07-16T00:00:00"/>
    <d v="2019-08-15T00:00:00"/>
    <m/>
    <n v="12399"/>
    <x v="47"/>
    <x v="0"/>
  </r>
  <r>
    <x v="6"/>
    <s v="Emitida"/>
    <d v="2019-07-16T00:00:00"/>
    <d v="2019-07-16T00:00:00"/>
    <d v="2019-08-15T00:00:00"/>
    <m/>
    <n v="13034"/>
    <x v="48"/>
    <x v="0"/>
  </r>
  <r>
    <x v="4"/>
    <s v="Emitida"/>
    <d v="2019-07-16T00:00:00"/>
    <d v="2019-07-16T00:00:00"/>
    <d v="2019-07-31T00:00:00"/>
    <m/>
    <n v="69554"/>
    <x v="49"/>
    <x v="0"/>
  </r>
  <r>
    <x v="14"/>
    <s v="Emitida"/>
    <d v="2019-07-11T00:00:00"/>
    <d v="2019-07-11T00:00:00"/>
    <d v="2019-07-18T00:00:00"/>
    <m/>
    <n v="6220"/>
    <x v="50"/>
    <x v="0"/>
  </r>
  <r>
    <x v="15"/>
    <s v="Emitida"/>
    <d v="2019-07-10T00:00:00"/>
    <d v="2019-07-10T00:00:00"/>
    <d v="2019-07-25T00:00:00"/>
    <m/>
    <n v="14938.9"/>
    <x v="51"/>
    <x v="0"/>
  </r>
  <r>
    <x v="15"/>
    <s v="Emitida"/>
    <d v="2019-07-10T00:00:00"/>
    <d v="2019-07-10T00:00:00"/>
    <d v="2019-07-25T00:00:00"/>
    <m/>
    <n v="14938.9"/>
    <x v="51"/>
    <x v="0"/>
  </r>
  <r>
    <x v="6"/>
    <s v="Emitida"/>
    <d v="2019-07-10T00:00:00"/>
    <d v="2019-07-10T00:00:00"/>
    <d v="2019-08-09T00:00:00"/>
    <m/>
    <n v="8063"/>
    <x v="52"/>
    <x v="0"/>
  </r>
  <r>
    <x v="8"/>
    <s v="Emitida"/>
    <d v="2019-07-09T00:00:00"/>
    <d v="2019-07-09T00:00:00"/>
    <d v="2019-08-23T00:00:00"/>
    <m/>
    <n v="34905"/>
    <x v="53"/>
    <x v="0"/>
  </r>
  <r>
    <x v="7"/>
    <s v="Emitida"/>
    <d v="2019-07-09T00:00:00"/>
    <d v="2019-06-06T00:00:00"/>
    <d v="2019-07-24T00:00:00"/>
    <m/>
    <n v="21840"/>
    <x v="54"/>
    <x v="0"/>
  </r>
  <r>
    <x v="7"/>
    <s v="Emitida"/>
    <d v="2019-07-09T00:00:00"/>
    <d v="2019-06-19T00:00:00"/>
    <d v="2019-07-24T00:00:00"/>
    <m/>
    <n v="47222"/>
    <x v="55"/>
    <x v="0"/>
  </r>
  <r>
    <x v="7"/>
    <s v="Emitida"/>
    <d v="2019-07-09T00:00:00"/>
    <d v="2019-06-14T00:00:00"/>
    <d v="2019-07-24T00:00:00"/>
    <m/>
    <n v="35532"/>
    <x v="56"/>
    <x v="0"/>
  </r>
  <r>
    <x v="7"/>
    <s v="Emitida"/>
    <d v="2019-07-09T00:00:00"/>
    <d v="2019-06-14T00:00:00"/>
    <d v="2019-07-24T00:00:00"/>
    <m/>
    <n v="44941"/>
    <x v="57"/>
    <x v="0"/>
  </r>
  <r>
    <x v="7"/>
    <s v="Emitida"/>
    <d v="2019-07-09T00:00:00"/>
    <d v="2019-06-26T00:00:00"/>
    <d v="2019-07-24T00:00:00"/>
    <m/>
    <n v="39610"/>
    <x v="58"/>
    <x v="0"/>
  </r>
  <r>
    <x v="7"/>
    <s v="Emitida"/>
    <d v="2019-07-09T00:00:00"/>
    <d v="2019-06-04T00:00:00"/>
    <d v="2019-07-24T00:00:00"/>
    <m/>
    <n v="45277"/>
    <x v="59"/>
    <x v="0"/>
  </r>
  <r>
    <x v="7"/>
    <s v="Emitida"/>
    <d v="2019-07-09T00:00:00"/>
    <d v="2019-06-26T00:00:00"/>
    <d v="2019-07-24T00:00:00"/>
    <m/>
    <n v="46174"/>
    <x v="60"/>
    <x v="0"/>
  </r>
  <r>
    <x v="7"/>
    <s v="Emitida"/>
    <d v="2019-07-09T00:00:00"/>
    <d v="2019-06-24T00:00:00"/>
    <d v="2019-07-24T00:00:00"/>
    <m/>
    <n v="44896"/>
    <x v="61"/>
    <x v="0"/>
  </r>
  <r>
    <x v="7"/>
    <s v="Emitida"/>
    <d v="2019-07-09T00:00:00"/>
    <d v="2019-06-11T00:00:00"/>
    <d v="2019-07-24T00:00:00"/>
    <m/>
    <n v="45974"/>
    <x v="62"/>
    <x v="0"/>
  </r>
  <r>
    <x v="7"/>
    <s v="Emitida"/>
    <d v="2019-07-09T00:00:00"/>
    <d v="2019-06-25T00:00:00"/>
    <d v="2019-07-24T00:00:00"/>
    <m/>
    <n v="46255"/>
    <x v="63"/>
    <x v="0"/>
  </r>
  <r>
    <x v="7"/>
    <s v="Emitida"/>
    <d v="2019-07-09T00:00:00"/>
    <d v="2019-06-18T00:00:00"/>
    <d v="2019-07-24T00:00:00"/>
    <m/>
    <n v="37338"/>
    <x v="64"/>
    <x v="0"/>
  </r>
  <r>
    <x v="7"/>
    <s v="Emitida"/>
    <d v="2019-07-09T00:00:00"/>
    <d v="2019-06-12T00:00:00"/>
    <d v="2019-07-24T00:00:00"/>
    <m/>
    <n v="44813"/>
    <x v="65"/>
    <x v="0"/>
  </r>
  <r>
    <x v="7"/>
    <s v="Emitida"/>
    <d v="2019-07-09T00:00:00"/>
    <d v="2019-06-12T00:00:00"/>
    <d v="2019-07-24T00:00:00"/>
    <m/>
    <n v="39899"/>
    <x v="66"/>
    <x v="0"/>
  </r>
  <r>
    <x v="7"/>
    <s v="Emitida"/>
    <d v="2019-07-04T00:00:00"/>
    <d v="2019-07-04T00:00:00"/>
    <d v="2019-07-19T00:00:00"/>
    <m/>
    <n v="7000"/>
    <x v="67"/>
    <x v="0"/>
  </r>
  <r>
    <x v="7"/>
    <s v="Emitida"/>
    <d v="2019-07-04T00:00:00"/>
    <d v="2019-07-04T00:00:00"/>
    <d v="2019-07-19T00:00:00"/>
    <m/>
    <n v="5000"/>
    <x v="68"/>
    <x v="0"/>
  </r>
  <r>
    <x v="7"/>
    <s v="Emitida"/>
    <d v="2019-07-04T00:00:00"/>
    <d v="2019-07-04T00:00:00"/>
    <d v="2019-07-19T00:00:00"/>
    <m/>
    <n v="5000"/>
    <x v="68"/>
    <x v="0"/>
  </r>
  <r>
    <x v="4"/>
    <s v="Emitida"/>
    <d v="2019-07-04T00:00:00"/>
    <d v="2019-07-04T00:00:00"/>
    <d v="2019-07-19T00:00:00"/>
    <m/>
    <n v="5500"/>
    <x v="69"/>
    <x v="0"/>
  </r>
  <r>
    <x v="9"/>
    <s v="Emitida"/>
    <d v="2019-07-03T00:00:00"/>
    <d v="2019-07-03T00:00:00"/>
    <d v="2019-07-10T00:00:00"/>
    <m/>
    <n v="19300"/>
    <x v="70"/>
    <x v="0"/>
  </r>
  <r>
    <x v="6"/>
    <s v="Emitida"/>
    <d v="2019-07-02T00:00:00"/>
    <d v="2019-07-02T00:00:00"/>
    <d v="2019-08-01T00:00:00"/>
    <m/>
    <n v="24980"/>
    <x v="71"/>
    <x v="0"/>
  </r>
  <r>
    <x v="3"/>
    <s v="Emitida"/>
    <d v="2019-07-01T00:00:00"/>
    <d v="2019-07-01T00:00:00"/>
    <d v="2019-07-21T00:00:00"/>
    <m/>
    <n v="5265"/>
    <x v="72"/>
    <x v="0"/>
  </r>
  <r>
    <x v="7"/>
    <s v="Emitida"/>
    <d v="2019-07-01T00:00:00"/>
    <d v="2019-06-26T00:00:00"/>
    <d v="2019-07-16T00:00:00"/>
    <m/>
    <n v="6954"/>
    <x v="73"/>
    <x v="0"/>
  </r>
  <r>
    <x v="6"/>
    <s v="Emitida"/>
    <d v="2019-06-28T00:00:00"/>
    <d v="2019-06-28T00:00:00"/>
    <d v="2019-07-28T00:00:00"/>
    <m/>
    <n v="11280"/>
    <x v="74"/>
    <x v="0"/>
  </r>
  <r>
    <x v="6"/>
    <s v="Emitida"/>
    <d v="2019-06-28T00:00:00"/>
    <d v="2019-06-26T00:00:00"/>
    <d v="2019-07-28T00:00:00"/>
    <m/>
    <n v="46350"/>
    <x v="75"/>
    <x v="0"/>
  </r>
  <r>
    <x v="8"/>
    <s v="Emitida"/>
    <d v="2019-06-27T00:00:00"/>
    <d v="2019-06-27T00:00:00"/>
    <d v="2019-08-11T00:00:00"/>
    <m/>
    <n v="28597"/>
    <x v="76"/>
    <x v="0"/>
  </r>
  <r>
    <x v="3"/>
    <s v="Emitida"/>
    <d v="2019-06-26T00:00:00"/>
    <d v="2019-06-26T00:00:00"/>
    <d v="2019-07-16T00:00:00"/>
    <m/>
    <n v="3242.4"/>
    <x v="77"/>
    <x v="0"/>
  </r>
  <r>
    <x v="6"/>
    <s v="Emitida"/>
    <d v="2019-06-26T00:00:00"/>
    <d v="2019-06-26T00:00:00"/>
    <d v="2019-07-26T00:00:00"/>
    <m/>
    <n v="14124"/>
    <x v="78"/>
    <x v="0"/>
  </r>
  <r>
    <x v="6"/>
    <s v="Emitida"/>
    <d v="2019-06-26T00:00:00"/>
    <d v="2019-06-26T00:00:00"/>
    <d v="2019-07-26T00:00:00"/>
    <m/>
    <n v="25046"/>
    <x v="79"/>
    <x v="0"/>
  </r>
  <r>
    <x v="6"/>
    <s v="Emitida"/>
    <d v="2019-06-26T00:00:00"/>
    <d v="2019-06-26T00:00:00"/>
    <d v="2019-07-26T00:00:00"/>
    <m/>
    <n v="25046"/>
    <x v="79"/>
    <x v="0"/>
  </r>
  <r>
    <x v="1"/>
    <s v="Emitida"/>
    <d v="2019-06-25T00:00:00"/>
    <d v="2019-06-25T00:00:00"/>
    <d v="2019-07-25T00:00:00"/>
    <m/>
    <n v="102567"/>
    <x v="80"/>
    <x v="0"/>
  </r>
  <r>
    <x v="3"/>
    <s v="Emitida"/>
    <d v="2019-06-25T00:00:00"/>
    <d v="2019-06-25T00:00:00"/>
    <d v="2019-07-15T00:00:00"/>
    <m/>
    <n v="5500.5"/>
    <x v="81"/>
    <x v="0"/>
  </r>
  <r>
    <x v="4"/>
    <s v="Emitida"/>
    <d v="2019-06-25T00:00:00"/>
    <d v="2019-06-25T00:00:00"/>
    <d v="2019-07-10T00:00:00"/>
    <m/>
    <n v="64460"/>
    <x v="82"/>
    <x v="0"/>
  </r>
  <r>
    <x v="5"/>
    <s v="Emitida"/>
    <d v="2019-06-25T00:00:00"/>
    <d v="2019-06-24T00:00:00"/>
    <d v="2019-08-09T00:00:00"/>
    <m/>
    <n v="31069"/>
    <x v="6"/>
    <x v="0"/>
  </r>
  <r>
    <x v="6"/>
    <s v="Emitida"/>
    <d v="2019-06-24T00:00:00"/>
    <d v="2019-06-24T00:00:00"/>
    <d v="2019-07-24T00:00:00"/>
    <m/>
    <n v="18188"/>
    <x v="83"/>
    <x v="0"/>
  </r>
  <r>
    <x v="16"/>
    <s v="Emitida"/>
    <d v="2019-06-24T00:00:00"/>
    <d v="2019-06-24T00:00:00"/>
    <d v="2019-07-09T00:00:00"/>
    <m/>
    <n v="550"/>
    <x v="84"/>
    <x v="0"/>
  </r>
  <r>
    <x v="3"/>
    <s v="Emitida"/>
    <d v="2019-06-24T00:00:00"/>
    <d v="2019-06-24T00:00:00"/>
    <d v="2019-07-14T00:00:00"/>
    <m/>
    <n v="6484.8"/>
    <x v="85"/>
    <x v="0"/>
  </r>
  <r>
    <x v="0"/>
    <s v="Emitida"/>
    <d v="2019-06-21T00:00:00"/>
    <d v="2019-06-21T00:00:00"/>
    <d v="2019-06-28T00:00:00"/>
    <m/>
    <n v="8808"/>
    <x v="86"/>
    <x v="0"/>
  </r>
  <r>
    <x v="10"/>
    <s v="Emitida"/>
    <d v="2019-06-21T00:00:00"/>
    <d v="2019-06-21T00:00:00"/>
    <d v="2019-07-21T00:00:00"/>
    <m/>
    <n v="43730.400000000001"/>
    <x v="87"/>
    <x v="0"/>
  </r>
  <r>
    <x v="3"/>
    <s v="Emitida"/>
    <d v="2019-06-19T00:00:00"/>
    <d v="2019-06-19T00:00:00"/>
    <d v="2019-07-09T00:00:00"/>
    <m/>
    <n v="7063.8"/>
    <x v="88"/>
    <x v="0"/>
  </r>
  <r>
    <x v="10"/>
    <s v="Emitida"/>
    <d v="2019-06-18T00:00:00"/>
    <d v="2019-06-18T00:00:00"/>
    <d v="2019-07-18T00:00:00"/>
    <m/>
    <n v="54194.5"/>
    <x v="89"/>
    <x v="0"/>
  </r>
  <r>
    <x v="10"/>
    <s v="Emitida"/>
    <d v="2019-06-18T00:00:00"/>
    <d v="2019-06-18T00:00:00"/>
    <d v="2019-07-18T00:00:00"/>
    <m/>
    <n v="1480"/>
    <x v="90"/>
    <x v="0"/>
  </r>
  <r>
    <x v="3"/>
    <s v="Emitida"/>
    <d v="2019-06-18T00:00:00"/>
    <d v="2019-06-18T00:00:00"/>
    <d v="2019-07-08T00:00:00"/>
    <m/>
    <n v="2721.3"/>
    <x v="91"/>
    <x v="0"/>
  </r>
  <r>
    <x v="3"/>
    <s v="Emitida"/>
    <d v="2019-06-18T00:00:00"/>
    <d v="2019-06-18T00:00:00"/>
    <d v="2019-07-08T00:00:00"/>
    <m/>
    <n v="13645.1"/>
    <x v="92"/>
    <x v="0"/>
  </r>
  <r>
    <x v="3"/>
    <s v="Emitida"/>
    <d v="2019-06-18T00:00:00"/>
    <d v="2019-06-18T00:00:00"/>
    <d v="2019-07-08T00:00:00"/>
    <m/>
    <n v="70445"/>
    <x v="93"/>
    <x v="0"/>
  </r>
  <r>
    <x v="3"/>
    <s v="Emitida"/>
    <d v="2019-06-18T00:00:00"/>
    <d v="2019-06-18T00:00:00"/>
    <d v="2019-07-08T00:00:00"/>
    <m/>
    <n v="45914.7"/>
    <x v="94"/>
    <x v="0"/>
  </r>
  <r>
    <x v="17"/>
    <s v="Emitida"/>
    <d v="2019-06-14T00:00:00"/>
    <d v="2019-06-14T00:00:00"/>
    <d v="2019-06-29T00:00:00"/>
    <m/>
    <n v="660"/>
    <x v="95"/>
    <x v="0"/>
  </r>
  <r>
    <x v="4"/>
    <s v="Emitida"/>
    <d v="2019-06-13T00:00:00"/>
    <d v="2019-06-13T00:00:00"/>
    <d v="2019-06-28T00:00:00"/>
    <m/>
    <n v="18110"/>
    <x v="96"/>
    <x v="0"/>
  </r>
  <r>
    <x v="7"/>
    <s v="Emitida"/>
    <d v="2019-06-13T00:00:00"/>
    <d v="2019-06-13T00:00:00"/>
    <d v="2019-06-28T00:00:00"/>
    <m/>
    <n v="6116"/>
    <x v="97"/>
    <x v="0"/>
  </r>
  <r>
    <x v="18"/>
    <s v="Emitida"/>
    <d v="2019-06-12T00:00:00"/>
    <d v="2019-06-12T00:00:00"/>
    <d v="2019-07-12T00:00:00"/>
    <m/>
    <n v="36261.1"/>
    <x v="98"/>
    <x v="0"/>
  </r>
  <r>
    <x v="17"/>
    <s v="Emitida"/>
    <d v="2019-06-11T00:00:00"/>
    <d v="2019-06-11T00:00:00"/>
    <d v="2019-06-26T00:00:00"/>
    <m/>
    <n v="1900"/>
    <x v="99"/>
    <x v="0"/>
  </r>
  <r>
    <x v="4"/>
    <s v="Emitida"/>
    <d v="2019-06-10T00:00:00"/>
    <d v="2019-06-10T00:00:00"/>
    <d v="2019-06-25T00:00:00"/>
    <m/>
    <n v="490"/>
    <x v="100"/>
    <x v="0"/>
  </r>
  <r>
    <x v="6"/>
    <s v="Emitida"/>
    <d v="2019-06-10T00:00:00"/>
    <d v="2019-06-10T00:00:00"/>
    <d v="2019-07-10T00:00:00"/>
    <m/>
    <n v="23021"/>
    <x v="101"/>
    <x v="0"/>
  </r>
  <r>
    <x v="6"/>
    <s v="Emitida"/>
    <d v="2019-06-06T00:00:00"/>
    <d v="2019-06-06T00:00:00"/>
    <d v="2019-07-06T00:00:00"/>
    <m/>
    <n v="29480"/>
    <x v="102"/>
    <x v="0"/>
  </r>
  <r>
    <x v="6"/>
    <s v="Emitida"/>
    <d v="2019-06-06T00:00:00"/>
    <d v="2019-06-06T00:00:00"/>
    <d v="2019-07-06T00:00:00"/>
    <m/>
    <n v="20498"/>
    <x v="103"/>
    <x v="0"/>
  </r>
  <r>
    <x v="2"/>
    <s v="Emitida"/>
    <d v="2019-06-05T00:00:00"/>
    <d v="2019-06-05T00:00:00"/>
    <d v="2019-07-05T00:00:00"/>
    <m/>
    <n v="840"/>
    <x v="104"/>
    <x v="0"/>
  </r>
  <r>
    <x v="4"/>
    <s v="Emitida"/>
    <d v="2019-06-05T00:00:00"/>
    <d v="2019-06-05T00:00:00"/>
    <d v="2019-06-20T00:00:00"/>
    <m/>
    <n v="17000"/>
    <x v="105"/>
    <x v="0"/>
  </r>
  <r>
    <x v="7"/>
    <s v="Emitida"/>
    <d v="2019-06-05T00:00:00"/>
    <d v="2019-05-28T00:00:00"/>
    <d v="2019-06-20T00:00:00"/>
    <m/>
    <n v="35957"/>
    <x v="106"/>
    <x v="0"/>
  </r>
  <r>
    <x v="7"/>
    <s v="Emitida"/>
    <d v="2019-06-05T00:00:00"/>
    <d v="2019-05-29T00:00:00"/>
    <d v="2019-06-20T00:00:00"/>
    <m/>
    <n v="36700"/>
    <x v="107"/>
    <x v="0"/>
  </r>
  <r>
    <x v="7"/>
    <s v="Emitida"/>
    <d v="2019-06-05T00:00:00"/>
    <d v="2019-05-28T00:00:00"/>
    <d v="2019-06-20T00:00:00"/>
    <m/>
    <n v="42229"/>
    <x v="108"/>
    <x v="0"/>
  </r>
  <r>
    <x v="7"/>
    <s v="Emitida"/>
    <d v="2019-06-05T00:00:00"/>
    <d v="2019-05-21T00:00:00"/>
    <d v="2019-06-20T00:00:00"/>
    <m/>
    <n v="34741"/>
    <x v="109"/>
    <x v="0"/>
  </r>
  <r>
    <x v="7"/>
    <s v="Emitida"/>
    <d v="2019-06-05T00:00:00"/>
    <d v="2019-05-21T00:00:00"/>
    <d v="2019-06-20T00:00:00"/>
    <m/>
    <n v="49040"/>
    <x v="110"/>
    <x v="0"/>
  </r>
  <r>
    <x v="7"/>
    <s v="Emitida"/>
    <d v="2019-06-05T00:00:00"/>
    <d v="2019-05-14T00:00:00"/>
    <d v="2019-06-20T00:00:00"/>
    <m/>
    <n v="42015"/>
    <x v="111"/>
    <x v="0"/>
  </r>
  <r>
    <x v="7"/>
    <s v="Emitida"/>
    <d v="2019-06-05T00:00:00"/>
    <d v="2019-05-14T00:00:00"/>
    <d v="2019-06-20T00:00:00"/>
    <m/>
    <n v="36608"/>
    <x v="112"/>
    <x v="0"/>
  </r>
  <r>
    <x v="7"/>
    <s v="Emitida"/>
    <d v="2019-06-05T00:00:00"/>
    <d v="2019-05-21T00:00:00"/>
    <d v="2019-06-20T00:00:00"/>
    <m/>
    <n v="48444"/>
    <x v="113"/>
    <x v="0"/>
  </r>
  <r>
    <x v="7"/>
    <s v="Emitida"/>
    <d v="2019-06-05T00:00:00"/>
    <d v="2019-05-13T00:00:00"/>
    <d v="2019-06-20T00:00:00"/>
    <m/>
    <n v="34693"/>
    <x v="114"/>
    <x v="0"/>
  </r>
  <r>
    <x v="6"/>
    <s v="Emitida"/>
    <d v="2019-06-04T00:00:00"/>
    <d v="2019-06-04T00:00:00"/>
    <d v="2019-07-04T00:00:00"/>
    <m/>
    <n v="20866"/>
    <x v="115"/>
    <x v="0"/>
  </r>
  <r>
    <x v="7"/>
    <s v="Emitida"/>
    <d v="2019-06-04T00:00:00"/>
    <d v="2019-06-04T00:00:00"/>
    <d v="2019-06-19T00:00:00"/>
    <m/>
    <n v="1636"/>
    <x v="116"/>
    <x v="0"/>
  </r>
  <r>
    <x v="8"/>
    <s v="Emitida"/>
    <d v="2019-06-03T00:00:00"/>
    <d v="2019-06-03T00:00:00"/>
    <d v="2019-07-18T00:00:00"/>
    <m/>
    <n v="28670"/>
    <x v="117"/>
    <x v="0"/>
  </r>
  <r>
    <x v="14"/>
    <s v="Emitida"/>
    <d v="2019-06-03T00:00:00"/>
    <d v="2019-06-03T00:00:00"/>
    <d v="2019-06-10T00:00:00"/>
    <m/>
    <n v="1244"/>
    <x v="118"/>
    <x v="0"/>
  </r>
  <r>
    <x v="9"/>
    <s v="Emitida"/>
    <d v="2019-05-31T00:00:00"/>
    <d v="2019-05-31T00:00:00"/>
    <d v="2019-06-07T00:00:00"/>
    <m/>
    <n v="3420"/>
    <x v="119"/>
    <x v="0"/>
  </r>
  <r>
    <x v="6"/>
    <s v="Emitida"/>
    <d v="2019-05-29T00:00:00"/>
    <d v="2019-05-29T00:00:00"/>
    <d v="2019-06-28T00:00:00"/>
    <m/>
    <n v="12232"/>
    <x v="120"/>
    <x v="0"/>
  </r>
  <r>
    <x v="4"/>
    <s v="Emitida"/>
    <d v="2019-05-29T00:00:00"/>
    <d v="2019-05-29T00:00:00"/>
    <d v="2019-06-13T00:00:00"/>
    <m/>
    <n v="98"/>
    <x v="121"/>
    <x v="0"/>
  </r>
  <r>
    <x v="19"/>
    <s v="Emitida"/>
    <d v="2019-05-29T00:00:00"/>
    <d v="2019-05-29T00:00:00"/>
    <d v="2019-06-13T00:00:00"/>
    <m/>
    <n v="3657.6"/>
    <x v="122"/>
    <x v="0"/>
  </r>
  <r>
    <x v="19"/>
    <s v="Emitida"/>
    <d v="2019-05-29T00:00:00"/>
    <d v="2019-05-29T00:00:00"/>
    <d v="2019-06-13T00:00:00"/>
    <m/>
    <n v="37642.800000000003"/>
    <x v="123"/>
    <x v="0"/>
  </r>
  <r>
    <x v="4"/>
    <s v="Emitida"/>
    <d v="2019-05-27T00:00:00"/>
    <d v="2019-05-27T00:00:00"/>
    <d v="2019-06-11T00:00:00"/>
    <m/>
    <n v="105384"/>
    <x v="124"/>
    <x v="0"/>
  </r>
  <r>
    <x v="6"/>
    <s v="Emitida"/>
    <d v="2019-05-27T00:00:00"/>
    <d v="2019-05-27T00:00:00"/>
    <d v="2019-06-26T00:00:00"/>
    <m/>
    <n v="900"/>
    <x v="125"/>
    <x v="0"/>
  </r>
  <r>
    <x v="6"/>
    <s v="Emitida"/>
    <d v="2019-05-24T00:00:00"/>
    <d v="2019-05-24T00:00:00"/>
    <d v="2019-06-23T00:00:00"/>
    <m/>
    <n v="10128"/>
    <x v="126"/>
    <x v="0"/>
  </r>
  <r>
    <x v="6"/>
    <s v="Emitida"/>
    <d v="2019-05-24T00:00:00"/>
    <d v="2019-05-21T00:00:00"/>
    <d v="2019-06-23T00:00:00"/>
    <m/>
    <n v="24027"/>
    <x v="127"/>
    <x v="0"/>
  </r>
  <r>
    <x v="6"/>
    <s v="Emitida"/>
    <d v="2019-05-24T00:00:00"/>
    <d v="2019-05-24T00:00:00"/>
    <d v="2019-06-23T00:00:00"/>
    <m/>
    <n v="23523"/>
    <x v="128"/>
    <x v="0"/>
  </r>
  <r>
    <x v="19"/>
    <s v="Emitida"/>
    <d v="2019-05-24T00:00:00"/>
    <d v="2019-05-24T00:00:00"/>
    <d v="2019-06-08T00:00:00"/>
    <m/>
    <n v="28963.4"/>
    <x v="129"/>
    <x v="0"/>
  </r>
  <r>
    <x v="7"/>
    <s v="Emitida"/>
    <d v="2019-05-23T00:00:00"/>
    <d v="2019-05-23T00:00:00"/>
    <d v="2019-06-07T00:00:00"/>
    <m/>
    <n v="14740"/>
    <x v="130"/>
    <x v="0"/>
  </r>
  <r>
    <x v="19"/>
    <s v="Emitida"/>
    <d v="2019-05-22T00:00:00"/>
    <d v="2019-05-22T00:00:00"/>
    <d v="2019-06-06T00:00:00"/>
    <m/>
    <n v="11625.8"/>
    <x v="131"/>
    <x v="0"/>
  </r>
  <r>
    <x v="8"/>
    <s v="Emitida"/>
    <d v="2019-05-21T00:00:00"/>
    <d v="2019-05-21T00:00:00"/>
    <d v="2019-07-05T00:00:00"/>
    <m/>
    <n v="32583"/>
    <x v="132"/>
    <x v="0"/>
  </r>
  <r>
    <x v="13"/>
    <s v="Emitida"/>
    <d v="2019-05-21T00:00:00"/>
    <d v="2019-05-21T00:00:00"/>
    <d v="2019-06-20T00:00:00"/>
    <m/>
    <n v="1978.8"/>
    <x v="133"/>
    <x v="0"/>
  </r>
  <r>
    <x v="19"/>
    <s v="Emitida"/>
    <d v="2019-05-17T00:00:00"/>
    <d v="2019-05-17T00:00:00"/>
    <d v="2019-06-01T00:00:00"/>
    <m/>
    <n v="28087.200000000001"/>
    <x v="134"/>
    <x v="0"/>
  </r>
  <r>
    <x v="19"/>
    <s v="Emitida"/>
    <d v="2019-05-17T00:00:00"/>
    <d v="2019-05-17T00:00:00"/>
    <d v="2019-06-01T00:00:00"/>
    <m/>
    <n v="4665.28"/>
    <x v="135"/>
    <x v="0"/>
  </r>
  <r>
    <x v="1"/>
    <s v="Emitida"/>
    <d v="2019-05-15T00:00:00"/>
    <d v="2019-05-15T00:00:00"/>
    <d v="2019-06-14T00:00:00"/>
    <m/>
    <n v="99927"/>
    <x v="136"/>
    <x v="0"/>
  </r>
  <r>
    <x v="19"/>
    <s v="Emitida"/>
    <d v="2019-05-15T00:00:00"/>
    <d v="2019-05-15T00:00:00"/>
    <d v="2019-05-30T00:00:00"/>
    <m/>
    <n v="33908.699999999997"/>
    <x v="137"/>
    <x v="0"/>
  </r>
  <r>
    <x v="20"/>
    <s v="Emitida"/>
    <d v="2019-05-15T00:00:00"/>
    <d v="2019-05-15T00:00:00"/>
    <d v="2019-05-15T00:00:00"/>
    <m/>
    <n v="146.52000000000001"/>
    <x v="138"/>
    <x v="0"/>
  </r>
  <r>
    <x v="19"/>
    <s v="Emitida"/>
    <d v="2019-05-15T00:00:00"/>
    <d v="2019-05-15T00:00:00"/>
    <d v="2019-05-30T00:00:00"/>
    <m/>
    <n v="10017.1"/>
    <x v="139"/>
    <x v="0"/>
  </r>
  <r>
    <x v="20"/>
    <s v="Emitida"/>
    <d v="2019-05-14T00:00:00"/>
    <d v="2019-05-14T00:00:00"/>
    <d v="2019-05-14T00:00:00"/>
    <m/>
    <n v="5850"/>
    <x v="140"/>
    <x v="0"/>
  </r>
  <r>
    <x v="6"/>
    <s v="Emitida"/>
    <d v="2019-05-14T00:00:00"/>
    <d v="2019-05-14T00:00:00"/>
    <d v="2019-06-13T00:00:00"/>
    <m/>
    <n v="14740"/>
    <x v="130"/>
    <x v="0"/>
  </r>
  <r>
    <x v="7"/>
    <s v="Emitida"/>
    <d v="2019-05-14T00:00:00"/>
    <d v="2019-05-14T00:00:00"/>
    <d v="2019-05-29T00:00:00"/>
    <m/>
    <n v="6161"/>
    <x v="141"/>
    <x v="0"/>
  </r>
  <r>
    <x v="7"/>
    <s v="Emitida"/>
    <d v="2019-05-14T00:00:00"/>
    <d v="2019-05-14T00:00:00"/>
    <d v="2019-05-29T00:00:00"/>
    <m/>
    <n v="6161"/>
    <x v="141"/>
    <x v="0"/>
  </r>
  <r>
    <x v="7"/>
    <s v="Emitida"/>
    <d v="2019-05-14T00:00:00"/>
    <d v="2019-05-14T00:00:00"/>
    <d v="2019-05-29T00:00:00"/>
    <m/>
    <n v="6206"/>
    <x v="142"/>
    <x v="0"/>
  </r>
  <r>
    <x v="7"/>
    <s v="Emitida"/>
    <d v="2019-05-14T00:00:00"/>
    <d v="2019-05-14T00:00:00"/>
    <d v="2019-05-29T00:00:00"/>
    <m/>
    <n v="8237"/>
    <x v="143"/>
    <x v="0"/>
  </r>
  <r>
    <x v="7"/>
    <s v="Emitida"/>
    <d v="2019-05-14T00:00:00"/>
    <d v="2019-05-14T00:00:00"/>
    <d v="2019-05-29T00:00:00"/>
    <m/>
    <n v="14546"/>
    <x v="144"/>
    <x v="0"/>
  </r>
  <r>
    <x v="7"/>
    <s v="Emitida"/>
    <d v="2019-05-14T00:00:00"/>
    <d v="2019-05-14T00:00:00"/>
    <d v="2019-05-29T00:00:00"/>
    <m/>
    <n v="6161"/>
    <x v="141"/>
    <x v="0"/>
  </r>
  <r>
    <x v="7"/>
    <s v="Emitida"/>
    <d v="2019-05-14T00:00:00"/>
    <d v="2019-04-08T00:00:00"/>
    <d v="2019-05-29T00:00:00"/>
    <m/>
    <n v="48578"/>
    <x v="145"/>
    <x v="0"/>
  </r>
  <r>
    <x v="7"/>
    <s v="Emitida"/>
    <d v="2019-05-14T00:00:00"/>
    <d v="2019-05-14T00:00:00"/>
    <d v="2019-05-29T00:00:00"/>
    <m/>
    <n v="7481"/>
    <x v="146"/>
    <x v="0"/>
  </r>
  <r>
    <x v="7"/>
    <s v="Emitida"/>
    <d v="2019-05-14T00:00:00"/>
    <d v="2019-04-23T00:00:00"/>
    <d v="2019-05-29T00:00:00"/>
    <m/>
    <n v="13744"/>
    <x v="147"/>
    <x v="0"/>
  </r>
  <r>
    <x v="7"/>
    <s v="Emitida"/>
    <d v="2019-05-14T00:00:00"/>
    <d v="2019-04-23T00:00:00"/>
    <d v="2019-05-29T00:00:00"/>
    <m/>
    <n v="14344"/>
    <x v="148"/>
    <x v="0"/>
  </r>
  <r>
    <x v="7"/>
    <s v="Emitida"/>
    <d v="2019-05-14T00:00:00"/>
    <d v="2019-04-25T00:00:00"/>
    <d v="2019-05-29T00:00:00"/>
    <m/>
    <n v="14834"/>
    <x v="149"/>
    <x v="0"/>
  </r>
  <r>
    <x v="7"/>
    <s v="Emitida"/>
    <d v="2019-05-14T00:00:00"/>
    <d v="2019-04-25T00:00:00"/>
    <d v="2019-05-29T00:00:00"/>
    <m/>
    <n v="14139"/>
    <x v="150"/>
    <x v="0"/>
  </r>
  <r>
    <x v="6"/>
    <s v="Emitida"/>
    <d v="2019-05-14T00:00:00"/>
    <d v="2019-05-13T00:00:00"/>
    <d v="2019-06-13T00:00:00"/>
    <m/>
    <n v="22338"/>
    <x v="151"/>
    <x v="0"/>
  </r>
  <r>
    <x v="6"/>
    <s v="Emitida"/>
    <d v="2019-05-14T00:00:00"/>
    <d v="2019-05-13T00:00:00"/>
    <d v="2019-06-13T00:00:00"/>
    <m/>
    <n v="29885"/>
    <x v="152"/>
    <x v="0"/>
  </r>
  <r>
    <x v="19"/>
    <s v="Emitida"/>
    <d v="2019-05-14T00:00:00"/>
    <d v="2019-05-14T00:00:00"/>
    <d v="2019-05-29T00:00:00"/>
    <m/>
    <n v="21015.7"/>
    <x v="153"/>
    <x v="0"/>
  </r>
  <r>
    <x v="21"/>
    <s v="Emitida"/>
    <d v="2019-05-13T00:00:00"/>
    <d v="2019-04-11T00:00:00"/>
    <d v="2019-05-13T00:00:00"/>
    <m/>
    <n v="5079.4399999999996"/>
    <x v="154"/>
    <x v="0"/>
  </r>
  <r>
    <x v="4"/>
    <s v="Emitida"/>
    <d v="2019-05-13T00:00:00"/>
    <d v="2019-05-13T00:00:00"/>
    <d v="2019-05-28T00:00:00"/>
    <m/>
    <n v="17000"/>
    <x v="105"/>
    <x v="0"/>
  </r>
  <r>
    <x v="7"/>
    <s v="Emitida"/>
    <d v="2019-05-10T00:00:00"/>
    <d v="2019-05-10T00:00:00"/>
    <d v="2019-05-25T00:00:00"/>
    <m/>
    <n v="6722"/>
    <x v="155"/>
    <x v="0"/>
  </r>
  <r>
    <x v="7"/>
    <s v="Emitida"/>
    <d v="2019-05-10T00:00:00"/>
    <d v="2019-04-30T00:00:00"/>
    <d v="2019-05-25T00:00:00"/>
    <m/>
    <n v="7535"/>
    <x v="156"/>
    <x v="0"/>
  </r>
  <r>
    <x v="7"/>
    <s v="Emitida"/>
    <d v="2019-05-10T00:00:00"/>
    <d v="2019-04-30T00:00:00"/>
    <d v="2019-05-25T00:00:00"/>
    <m/>
    <n v="7481"/>
    <x v="146"/>
    <x v="0"/>
  </r>
  <r>
    <x v="7"/>
    <s v="Emitida"/>
    <d v="2019-05-10T00:00:00"/>
    <d v="2019-04-30T00:00:00"/>
    <d v="2019-05-25T00:00:00"/>
    <m/>
    <n v="5750"/>
    <x v="157"/>
    <x v="0"/>
  </r>
  <r>
    <x v="7"/>
    <s v="Emitida"/>
    <d v="2019-05-10T00:00:00"/>
    <d v="2019-04-30T00:00:00"/>
    <d v="2019-05-25T00:00:00"/>
    <m/>
    <n v="7131"/>
    <x v="158"/>
    <x v="0"/>
  </r>
  <r>
    <x v="7"/>
    <s v="Emitida"/>
    <d v="2019-05-10T00:00:00"/>
    <d v="2019-04-25T00:00:00"/>
    <d v="2019-05-25T00:00:00"/>
    <m/>
    <n v="13382"/>
    <x v="159"/>
    <x v="0"/>
  </r>
  <r>
    <x v="7"/>
    <s v="Emitida"/>
    <d v="2019-05-10T00:00:00"/>
    <d v="2019-04-25T00:00:00"/>
    <d v="2019-05-25T00:00:00"/>
    <m/>
    <n v="7499"/>
    <x v="160"/>
    <x v="0"/>
  </r>
  <r>
    <x v="7"/>
    <s v="Emitida"/>
    <d v="2019-05-10T00:00:00"/>
    <d v="2019-04-25T00:00:00"/>
    <d v="2019-05-25T00:00:00"/>
    <m/>
    <n v="13410"/>
    <x v="161"/>
    <x v="0"/>
  </r>
  <r>
    <x v="7"/>
    <s v="Emitida"/>
    <d v="2019-05-10T00:00:00"/>
    <d v="2019-04-25T00:00:00"/>
    <d v="2019-05-25T00:00:00"/>
    <m/>
    <n v="7999"/>
    <x v="162"/>
    <x v="0"/>
  </r>
  <r>
    <x v="7"/>
    <s v="Emitida"/>
    <d v="2019-05-10T00:00:00"/>
    <d v="2019-04-23T00:00:00"/>
    <d v="2019-05-25T00:00:00"/>
    <m/>
    <n v="6161"/>
    <x v="141"/>
    <x v="0"/>
  </r>
  <r>
    <x v="7"/>
    <s v="Emitida"/>
    <d v="2019-05-10T00:00:00"/>
    <d v="2019-04-23T00:00:00"/>
    <d v="2019-05-25T00:00:00"/>
    <m/>
    <n v="7559"/>
    <x v="163"/>
    <x v="0"/>
  </r>
  <r>
    <x v="7"/>
    <s v="Emitida"/>
    <d v="2019-05-10T00:00:00"/>
    <d v="2019-04-08T00:00:00"/>
    <d v="2019-05-25T00:00:00"/>
    <m/>
    <n v="7195"/>
    <x v="164"/>
    <x v="0"/>
  </r>
  <r>
    <x v="7"/>
    <s v="Emitida"/>
    <d v="2019-05-10T00:00:00"/>
    <d v="2019-04-08T00:00:00"/>
    <d v="2019-05-25T00:00:00"/>
    <m/>
    <n v="6161"/>
    <x v="141"/>
    <x v="0"/>
  </r>
  <r>
    <x v="7"/>
    <s v="Emitida"/>
    <d v="2019-05-10T00:00:00"/>
    <d v="2019-04-02T00:00:00"/>
    <d v="2019-05-25T00:00:00"/>
    <m/>
    <n v="14184"/>
    <x v="165"/>
    <x v="0"/>
  </r>
  <r>
    <x v="7"/>
    <s v="Emitida"/>
    <d v="2019-05-10T00:00:00"/>
    <d v="2019-04-02T00:00:00"/>
    <d v="2019-05-25T00:00:00"/>
    <m/>
    <n v="20441"/>
    <x v="166"/>
    <x v="0"/>
  </r>
  <r>
    <x v="7"/>
    <s v="Emitida"/>
    <d v="2019-05-10T00:00:00"/>
    <s v="00:00:00"/>
    <d v="2019-05-25T00:00:00"/>
    <m/>
    <n v="7586"/>
    <x v="167"/>
    <x v="0"/>
  </r>
  <r>
    <x v="7"/>
    <s v="Emitida"/>
    <d v="2019-05-10T00:00:00"/>
    <d v="2019-03-22T00:00:00"/>
    <d v="2019-05-25T00:00:00"/>
    <m/>
    <n v="40432"/>
    <x v="168"/>
    <x v="0"/>
  </r>
  <r>
    <x v="7"/>
    <s v="Emitida"/>
    <d v="2019-05-10T00:00:00"/>
    <d v="2019-03-20T00:00:00"/>
    <d v="2019-05-25T00:00:00"/>
    <m/>
    <n v="15139"/>
    <x v="169"/>
    <x v="0"/>
  </r>
  <r>
    <x v="19"/>
    <s v="Emitida"/>
    <d v="2019-05-10T00:00:00"/>
    <d v="2019-05-10T00:00:00"/>
    <d v="2019-05-25T00:00:00"/>
    <m/>
    <n v="15550.2"/>
    <x v="170"/>
    <x v="0"/>
  </r>
  <r>
    <x v="12"/>
    <s v="Emitida"/>
    <d v="2019-05-10T00:00:00"/>
    <d v="2019-05-10T00:00:00"/>
    <d v="2019-05-10T00:00:00"/>
    <m/>
    <n v="500"/>
    <x v="171"/>
    <x v="0"/>
  </r>
  <r>
    <x v="6"/>
    <s v="Emitida"/>
    <d v="2019-05-09T00:00:00"/>
    <d v="2019-05-07T00:00:00"/>
    <d v="2019-06-08T00:00:00"/>
    <m/>
    <n v="31729"/>
    <x v="172"/>
    <x v="0"/>
  </r>
  <r>
    <x v="6"/>
    <s v="Emitida"/>
    <d v="2019-05-09T00:00:00"/>
    <d v="2019-05-03T00:00:00"/>
    <d v="2019-06-08T00:00:00"/>
    <m/>
    <n v="13911"/>
    <x v="173"/>
    <x v="0"/>
  </r>
  <r>
    <x v="6"/>
    <s v="Emitida"/>
    <d v="2019-05-09T00:00:00"/>
    <d v="2019-05-02T00:00:00"/>
    <d v="2019-06-08T00:00:00"/>
    <m/>
    <n v="20754"/>
    <x v="174"/>
    <x v="0"/>
  </r>
  <r>
    <x v="6"/>
    <s v="Emitida"/>
    <d v="2019-05-09T00:00:00"/>
    <d v="2019-04-30T00:00:00"/>
    <d v="2019-06-08T00:00:00"/>
    <m/>
    <n v="14428"/>
    <x v="175"/>
    <x v="0"/>
  </r>
  <r>
    <x v="6"/>
    <s v="Emitida"/>
    <d v="2019-05-09T00:00:00"/>
    <d v="2019-04-30T00:00:00"/>
    <d v="2019-06-08T00:00:00"/>
    <m/>
    <n v="29367"/>
    <x v="176"/>
    <x v="0"/>
  </r>
  <r>
    <x v="6"/>
    <s v="Emitida"/>
    <d v="2019-05-09T00:00:00"/>
    <d v="2019-04-30T00:00:00"/>
    <d v="2019-06-08T00:00:00"/>
    <m/>
    <n v="14932"/>
    <x v="177"/>
    <x v="0"/>
  </r>
  <r>
    <x v="6"/>
    <s v="Emitida"/>
    <d v="2019-05-09T00:00:00"/>
    <d v="2019-04-25T00:00:00"/>
    <d v="2019-06-08T00:00:00"/>
    <m/>
    <n v="14892"/>
    <x v="178"/>
    <x v="0"/>
  </r>
  <r>
    <x v="7"/>
    <s v="Emitida"/>
    <d v="2019-05-09T00:00:00"/>
    <d v="2019-05-07T00:00:00"/>
    <d v="2019-05-24T00:00:00"/>
    <m/>
    <n v="13616"/>
    <x v="179"/>
    <x v="0"/>
  </r>
  <r>
    <x v="7"/>
    <s v="Emitida"/>
    <d v="2019-05-09T00:00:00"/>
    <d v="2019-05-07T00:00:00"/>
    <d v="2019-05-24T00:00:00"/>
    <m/>
    <n v="14151"/>
    <x v="180"/>
    <x v="0"/>
  </r>
  <r>
    <x v="7"/>
    <s v="Emitida"/>
    <d v="2019-05-09T00:00:00"/>
    <d v="2019-05-09T00:00:00"/>
    <d v="2019-05-24T00:00:00"/>
    <m/>
    <n v="13687"/>
    <x v="181"/>
    <x v="0"/>
  </r>
  <r>
    <x v="7"/>
    <s v="Emitida"/>
    <d v="2019-05-09T00:00:00"/>
    <d v="2019-05-03T00:00:00"/>
    <d v="2019-05-24T00:00:00"/>
    <m/>
    <n v="8026"/>
    <x v="182"/>
    <x v="0"/>
  </r>
  <r>
    <x v="7"/>
    <s v="Emitida"/>
    <d v="2019-05-09T00:00:00"/>
    <d v="2019-05-09T00:00:00"/>
    <d v="2019-05-24T00:00:00"/>
    <m/>
    <n v="7176"/>
    <x v="183"/>
    <x v="0"/>
  </r>
  <r>
    <x v="19"/>
    <s v="Emitida"/>
    <d v="2019-05-09T00:00:00"/>
    <d v="2019-05-09T00:00:00"/>
    <d v="2019-05-24T00:00:00"/>
    <m/>
    <n v="11062.2"/>
    <x v="184"/>
    <x v="0"/>
  </r>
  <r>
    <x v="19"/>
    <s v="Emitida"/>
    <d v="2019-05-08T00:00:00"/>
    <d v="2019-05-08T00:00:00"/>
    <d v="2019-05-23T00:00:00"/>
    <m/>
    <n v="8920.6"/>
    <x v="185"/>
    <x v="0"/>
  </r>
  <r>
    <x v="19"/>
    <s v="Emitida"/>
    <d v="2019-05-08T00:00:00"/>
    <d v="2019-05-08T00:00:00"/>
    <d v="2019-05-23T00:00:00"/>
    <m/>
    <n v="3758.04"/>
    <x v="186"/>
    <x v="0"/>
  </r>
  <r>
    <x v="8"/>
    <s v="Emitida"/>
    <d v="2019-05-08T00:00:00"/>
    <d v="2019-05-08T00:00:00"/>
    <d v="2019-06-22T00:00:00"/>
    <m/>
    <n v="26211"/>
    <x v="187"/>
    <x v="0"/>
  </r>
  <r>
    <x v="19"/>
    <s v="Emitida"/>
    <d v="2019-05-07T00:00:00"/>
    <d v="2019-05-07T00:00:00"/>
    <d v="2019-05-22T00:00:00"/>
    <m/>
    <n v="3758.04"/>
    <x v="186"/>
    <x v="0"/>
  </r>
  <r>
    <x v="19"/>
    <s v="Emitida"/>
    <d v="2019-05-07T00:00:00"/>
    <d v="2019-05-07T00:00:00"/>
    <d v="2019-05-22T00:00:00"/>
    <m/>
    <n v="2201.6799999999998"/>
    <x v="188"/>
    <x v="0"/>
  </r>
  <r>
    <x v="19"/>
    <s v="Emitida"/>
    <d v="2019-05-07T00:00:00"/>
    <d v="2019-05-07T00:00:00"/>
    <d v="2019-05-22T00:00:00"/>
    <m/>
    <n v="2676.18"/>
    <x v="189"/>
    <x v="0"/>
  </r>
  <r>
    <x v="6"/>
    <s v="Emitida"/>
    <d v="2019-05-06T00:00:00"/>
    <d v="2019-05-06T00:00:00"/>
    <d v="2019-06-05T00:00:00"/>
    <m/>
    <n v="64328"/>
    <x v="190"/>
    <x v="0"/>
  </r>
  <r>
    <x v="11"/>
    <s v="Emitida"/>
    <d v="2019-05-06T00:00:00"/>
    <d v="2019-05-06T00:00:00"/>
    <d v="2019-07-05T00:00:00"/>
    <m/>
    <n v="2340"/>
    <x v="191"/>
    <x v="0"/>
  </r>
  <r>
    <x v="4"/>
    <s v="Emitida"/>
    <d v="2019-05-03T00:00:00"/>
    <d v="2019-05-03T00:00:00"/>
    <d v="2019-05-18T00:00:00"/>
    <m/>
    <n v="17000"/>
    <x v="105"/>
    <x v="0"/>
  </r>
  <r>
    <x v="19"/>
    <s v="Emitida"/>
    <d v="2019-05-02T00:00:00"/>
    <d v="2019-05-02T00:00:00"/>
    <d v="2019-05-17T00:00:00"/>
    <m/>
    <n v="9581.0400000000009"/>
    <x v="192"/>
    <x v="0"/>
  </r>
  <r>
    <x v="9"/>
    <s v="Emitida"/>
    <d v="2019-04-30T00:00:00"/>
    <d v="2019-04-30T00:00:00"/>
    <d v="2019-05-07T00:00:00"/>
    <m/>
    <n v="16980"/>
    <x v="193"/>
    <x v="0"/>
  </r>
  <r>
    <x v="6"/>
    <s v="Emitida"/>
    <d v="2019-04-29T00:00:00"/>
    <d v="2019-04-29T00:00:00"/>
    <d v="2019-05-29T00:00:00"/>
    <m/>
    <n v="1920"/>
    <x v="194"/>
    <x v="0"/>
  </r>
  <r>
    <x v="19"/>
    <s v="Emitida"/>
    <d v="2019-04-29T00:00:00"/>
    <d v="2019-04-29T00:00:00"/>
    <d v="2019-05-14T00:00:00"/>
    <m/>
    <n v="3798.91"/>
    <x v="195"/>
    <x v="0"/>
  </r>
  <r>
    <x v="6"/>
    <s v="Emitida"/>
    <d v="2019-04-26T00:00:00"/>
    <d v="2019-04-26T00:00:00"/>
    <d v="2019-05-26T00:00:00"/>
    <m/>
    <n v="30033"/>
    <x v="196"/>
    <x v="0"/>
  </r>
  <r>
    <x v="19"/>
    <s v="Emitida"/>
    <d v="2019-04-25T00:00:00"/>
    <d v="2019-04-25T00:00:00"/>
    <d v="2019-05-10T00:00:00"/>
    <m/>
    <n v="14523.3"/>
    <x v="197"/>
    <x v="0"/>
  </r>
  <r>
    <x v="22"/>
    <s v="Emitida"/>
    <d v="2019-04-24T00:00:00"/>
    <d v="2019-04-24T00:00:00"/>
    <d v="2019-05-09T00:00:00"/>
    <m/>
    <n v="6940"/>
    <x v="198"/>
    <x v="0"/>
  </r>
  <r>
    <x v="4"/>
    <s v="Emitida"/>
    <d v="2019-04-24T00:00:00"/>
    <d v="2019-04-24T00:00:00"/>
    <d v="2019-05-09T00:00:00"/>
    <m/>
    <n v="44984"/>
    <x v="199"/>
    <x v="0"/>
  </r>
  <r>
    <x v="6"/>
    <s v="Emitida"/>
    <d v="2019-04-24T00:00:00"/>
    <d v="2019-04-24T00:00:00"/>
    <d v="2019-05-24T00:00:00"/>
    <m/>
    <n v="26751"/>
    <x v="200"/>
    <x v="0"/>
  </r>
  <r>
    <x v="7"/>
    <s v="Emitida"/>
    <d v="2019-04-23T00:00:00"/>
    <d v="2019-04-23T00:00:00"/>
    <d v="2019-05-08T00:00:00"/>
    <m/>
    <n v="400"/>
    <x v="201"/>
    <x v="0"/>
  </r>
  <r>
    <x v="13"/>
    <s v="Emitida"/>
    <d v="2019-04-23T00:00:00"/>
    <d v="2019-04-23T00:00:00"/>
    <d v="2019-05-23T00:00:00"/>
    <m/>
    <n v="2604.4"/>
    <x v="202"/>
    <x v="0"/>
  </r>
  <r>
    <x v="19"/>
    <s v="Emitida"/>
    <d v="2019-04-23T00:00:00"/>
    <d v="2019-04-23T00:00:00"/>
    <d v="2019-05-08T00:00:00"/>
    <m/>
    <n v="12422.1"/>
    <x v="203"/>
    <x v="0"/>
  </r>
  <r>
    <x v="19"/>
    <s v="Emitida"/>
    <d v="2019-04-23T00:00:00"/>
    <d v="2019-04-23T00:00:00"/>
    <d v="2019-05-08T00:00:00"/>
    <m/>
    <n v="15230.8"/>
    <x v="204"/>
    <x v="0"/>
  </r>
  <r>
    <x v="19"/>
    <s v="Emitida"/>
    <d v="2019-04-23T00:00:00"/>
    <d v="2019-04-23T00:00:00"/>
    <d v="2019-05-08T00:00:00"/>
    <m/>
    <n v="22488"/>
    <x v="205"/>
    <x v="0"/>
  </r>
  <r>
    <x v="6"/>
    <s v="Emitida"/>
    <d v="2019-04-23T00:00:00"/>
    <d v="2019-04-11T00:00:00"/>
    <d v="2019-05-23T00:00:00"/>
    <m/>
    <n v="20187"/>
    <x v="206"/>
    <x v="0"/>
  </r>
  <r>
    <x v="6"/>
    <s v="Emitida"/>
    <d v="2019-04-23T00:00:00"/>
    <d v="2019-04-10T00:00:00"/>
    <d v="2019-05-23T00:00:00"/>
    <m/>
    <n v="20277"/>
    <x v="207"/>
    <x v="0"/>
  </r>
  <r>
    <x v="6"/>
    <s v="Emitida"/>
    <d v="2019-04-23T00:00:00"/>
    <d v="2019-04-09T00:00:00"/>
    <d v="2019-05-23T00:00:00"/>
    <m/>
    <n v="14838"/>
    <x v="208"/>
    <x v="0"/>
  </r>
  <r>
    <x v="6"/>
    <s v="Emitida"/>
    <d v="2019-04-23T00:00:00"/>
    <d v="2019-04-08T00:00:00"/>
    <d v="2019-05-23T00:00:00"/>
    <m/>
    <n v="23051"/>
    <x v="209"/>
    <x v="0"/>
  </r>
  <r>
    <x v="6"/>
    <s v="Emitida"/>
    <d v="2019-04-23T00:00:00"/>
    <d v="2019-04-03T00:00:00"/>
    <d v="2019-05-23T00:00:00"/>
    <m/>
    <n v="36700"/>
    <x v="107"/>
    <x v="0"/>
  </r>
  <r>
    <x v="6"/>
    <s v="Emitida"/>
    <d v="2019-04-23T00:00:00"/>
    <d v="2019-04-02T00:00:00"/>
    <d v="2019-05-23T00:00:00"/>
    <m/>
    <n v="20830"/>
    <x v="210"/>
    <x v="0"/>
  </r>
  <r>
    <x v="14"/>
    <s v="Emitida"/>
    <d v="2019-04-23T00:00:00"/>
    <d v="2019-04-23T00:00:00"/>
    <d v="2019-04-30T00:00:00"/>
    <m/>
    <n v="2954"/>
    <x v="211"/>
    <x v="0"/>
  </r>
  <r>
    <x v="19"/>
    <s v="Emitida"/>
    <d v="2019-04-22T00:00:00"/>
    <d v="2019-04-22T00:00:00"/>
    <d v="2019-05-07T00:00:00"/>
    <m/>
    <n v="3183.6"/>
    <x v="212"/>
    <x v="0"/>
  </r>
  <r>
    <x v="19"/>
    <s v="Emitida"/>
    <d v="2019-04-22T00:00:00"/>
    <d v="2019-04-22T00:00:00"/>
    <d v="2019-05-07T00:00:00"/>
    <m/>
    <n v="3183.6"/>
    <x v="212"/>
    <x v="0"/>
  </r>
  <r>
    <x v="19"/>
    <s v="Emitida"/>
    <d v="2019-04-22T00:00:00"/>
    <d v="2019-04-22T00:00:00"/>
    <d v="2019-05-07T00:00:00"/>
    <m/>
    <n v="3752.1"/>
    <x v="213"/>
    <x v="0"/>
  </r>
  <r>
    <x v="19"/>
    <s v="Emitida"/>
    <d v="2019-04-22T00:00:00"/>
    <d v="2019-04-22T00:00:00"/>
    <d v="2019-05-07T00:00:00"/>
    <m/>
    <n v="2671.95"/>
    <x v="214"/>
    <x v="0"/>
  </r>
  <r>
    <x v="19"/>
    <s v="Emitida"/>
    <d v="2019-04-22T00:00:00"/>
    <d v="2019-04-22T00:00:00"/>
    <d v="2019-05-07T00:00:00"/>
    <m/>
    <n v="2671.95"/>
    <x v="214"/>
    <x v="0"/>
  </r>
  <r>
    <x v="13"/>
    <s v="Emitida"/>
    <d v="2019-04-22T00:00:00"/>
    <d v="2019-04-22T00:00:00"/>
    <d v="2019-05-22T00:00:00"/>
    <m/>
    <n v="1302.2"/>
    <x v="215"/>
    <x v="0"/>
  </r>
  <r>
    <x v="6"/>
    <s v="Emitida"/>
    <d v="2019-04-22T00:00:00"/>
    <d v="2019-04-02T00:00:00"/>
    <d v="2019-05-22T00:00:00"/>
    <m/>
    <n v="6711"/>
    <x v="216"/>
    <x v="0"/>
  </r>
  <r>
    <x v="8"/>
    <s v="Emitida"/>
    <d v="2019-04-22T00:00:00"/>
    <d v="2019-04-22T00:00:00"/>
    <d v="2019-06-06T00:00:00"/>
    <m/>
    <n v="40701"/>
    <x v="217"/>
    <x v="0"/>
  </r>
  <r>
    <x v="6"/>
    <s v="Emitida"/>
    <d v="2019-04-22T00:00:00"/>
    <d v="2019-04-22T00:00:00"/>
    <d v="2019-05-22T00:00:00"/>
    <m/>
    <n v="4133"/>
    <x v="218"/>
    <x v="0"/>
  </r>
  <r>
    <x v="13"/>
    <s v="Emitida"/>
    <d v="2019-04-17T00:00:00"/>
    <d v="2019-04-17T00:00:00"/>
    <d v="2019-05-17T00:00:00"/>
    <m/>
    <n v="1302.2"/>
    <x v="215"/>
    <x v="0"/>
  </r>
  <r>
    <x v="14"/>
    <s v="Emitida"/>
    <d v="2019-04-17T00:00:00"/>
    <d v="2019-04-17T00:00:00"/>
    <d v="2019-04-24T00:00:00"/>
    <m/>
    <n v="1477"/>
    <x v="219"/>
    <x v="0"/>
  </r>
  <r>
    <x v="19"/>
    <s v="Emitida"/>
    <d v="2019-04-17T00:00:00"/>
    <d v="2019-04-17T00:00:00"/>
    <d v="2019-05-02T00:00:00"/>
    <m/>
    <n v="8369.4"/>
    <x v="220"/>
    <x v="0"/>
  </r>
  <r>
    <x v="7"/>
    <s v="Emitida"/>
    <d v="2019-04-12T00:00:00"/>
    <d v="2019-04-12T00:00:00"/>
    <d v="2019-04-27T00:00:00"/>
    <m/>
    <n v="7517"/>
    <x v="221"/>
    <x v="0"/>
  </r>
  <r>
    <x v="7"/>
    <s v="Emitida"/>
    <d v="2019-04-12T00:00:00"/>
    <d v="2019-04-12T00:00:00"/>
    <d v="2019-04-27T00:00:00"/>
    <m/>
    <n v="6161"/>
    <x v="141"/>
    <x v="0"/>
  </r>
  <r>
    <x v="7"/>
    <s v="Emitida"/>
    <d v="2019-04-12T00:00:00"/>
    <d v="2019-04-12T00:00:00"/>
    <d v="2019-04-27T00:00:00"/>
    <m/>
    <n v="7499"/>
    <x v="160"/>
    <x v="0"/>
  </r>
  <r>
    <x v="7"/>
    <s v="Emitida"/>
    <d v="2019-04-12T00:00:00"/>
    <d v="2019-04-25T00:00:00"/>
    <d v="2019-04-27T00:00:00"/>
    <m/>
    <n v="7167"/>
    <x v="222"/>
    <x v="0"/>
  </r>
  <r>
    <x v="7"/>
    <s v="Emitida"/>
    <d v="2019-04-12T00:00:00"/>
    <d v="2019-04-10T00:00:00"/>
    <d v="2019-04-27T00:00:00"/>
    <m/>
    <n v="28392"/>
    <x v="223"/>
    <x v="0"/>
  </r>
  <r>
    <x v="23"/>
    <s v="Emitida"/>
    <d v="2019-04-12T00:00:00"/>
    <d v="2019-04-12T00:00:00"/>
    <d v="2019-06-11T00:00:00"/>
    <m/>
    <n v="17857"/>
    <x v="224"/>
    <x v="0"/>
  </r>
  <r>
    <x v="8"/>
    <s v="Emitida"/>
    <d v="2019-04-12T00:00:00"/>
    <d v="2019-04-12T00:00:00"/>
    <d v="2019-05-27T00:00:00"/>
    <m/>
    <n v="50336"/>
    <x v="225"/>
    <x v="0"/>
  </r>
  <r>
    <x v="19"/>
    <s v="Emitida"/>
    <d v="2019-04-12T00:00:00"/>
    <d v="2019-04-12T00:00:00"/>
    <d v="2019-04-27T00:00:00"/>
    <m/>
    <n v="20874.7"/>
    <x v="226"/>
    <x v="0"/>
  </r>
  <r>
    <x v="19"/>
    <s v="Emitida"/>
    <d v="2019-04-11T00:00:00"/>
    <d v="2019-04-11T00:00:00"/>
    <d v="2019-04-26T00:00:00"/>
    <m/>
    <n v="25050"/>
    <x v="227"/>
    <x v="0"/>
  </r>
  <r>
    <x v="8"/>
    <s v="Emitida"/>
    <d v="2019-04-10T00:00:00"/>
    <d v="2019-04-10T00:00:00"/>
    <d v="2019-05-25T00:00:00"/>
    <m/>
    <n v="22500"/>
    <x v="228"/>
    <x v="0"/>
  </r>
  <r>
    <x v="6"/>
    <s v="Emitida"/>
    <d v="2019-04-10T00:00:00"/>
    <d v="2019-04-10T00:00:00"/>
    <d v="2019-05-10T00:00:00"/>
    <m/>
    <n v="8266"/>
    <x v="229"/>
    <x v="0"/>
  </r>
  <r>
    <x v="19"/>
    <s v="Emitida"/>
    <d v="2019-04-10T00:00:00"/>
    <d v="2019-04-10T00:00:00"/>
    <d v="2019-04-25T00:00:00"/>
    <m/>
    <n v="38243.5"/>
    <x v="230"/>
    <x v="0"/>
  </r>
  <r>
    <x v="19"/>
    <s v="Emitida"/>
    <d v="2019-04-08T00:00:00"/>
    <d v="2019-04-08T00:00:00"/>
    <d v="2019-04-23T00:00:00"/>
    <m/>
    <n v="18479.8"/>
    <x v="231"/>
    <x v="0"/>
  </r>
  <r>
    <x v="13"/>
    <s v="Emitida"/>
    <d v="2019-04-05T00:00:00"/>
    <d v="2019-04-05T00:00:00"/>
    <d v="2019-05-05T00:00:00"/>
    <m/>
    <n v="11050"/>
    <x v="232"/>
    <x v="0"/>
  </r>
  <r>
    <x v="6"/>
    <s v="Emitida"/>
    <d v="2019-04-04T00:00:00"/>
    <d v="2019-04-04T00:00:00"/>
    <d v="2019-05-04T00:00:00"/>
    <m/>
    <n v="5382"/>
    <x v="233"/>
    <x v="0"/>
  </r>
  <r>
    <x v="7"/>
    <s v="Emitida"/>
    <d v="2019-04-02T00:00:00"/>
    <d v="2019-03-28T00:00:00"/>
    <d v="2019-04-17T00:00:00"/>
    <m/>
    <n v="7499"/>
    <x v="160"/>
    <x v="0"/>
  </r>
  <r>
    <x v="7"/>
    <s v="Emitida"/>
    <d v="2019-04-02T00:00:00"/>
    <d v="2019-03-28T00:00:00"/>
    <d v="2019-04-17T00:00:00"/>
    <m/>
    <n v="14112"/>
    <x v="234"/>
    <x v="0"/>
  </r>
  <r>
    <x v="7"/>
    <s v="Emitida"/>
    <d v="2019-04-02T00:00:00"/>
    <d v="2019-03-28T00:00:00"/>
    <d v="2019-04-17T00:00:00"/>
    <m/>
    <n v="13762"/>
    <x v="235"/>
    <x v="0"/>
  </r>
  <r>
    <x v="7"/>
    <s v="Emitida"/>
    <d v="2019-04-02T00:00:00"/>
    <d v="2019-03-28T00:00:00"/>
    <d v="2019-04-17T00:00:00"/>
    <m/>
    <n v="15668"/>
    <x v="236"/>
    <x v="0"/>
  </r>
  <r>
    <x v="7"/>
    <s v="Emitida"/>
    <d v="2019-04-02T00:00:00"/>
    <d v="2019-03-26T00:00:00"/>
    <d v="2019-04-17T00:00:00"/>
    <m/>
    <n v="7177"/>
    <x v="237"/>
    <x v="0"/>
  </r>
  <r>
    <x v="7"/>
    <s v="Emitida"/>
    <d v="2019-04-02T00:00:00"/>
    <d v="2019-04-02T00:00:00"/>
    <d v="2019-04-17T00:00:00"/>
    <m/>
    <n v="7649"/>
    <x v="238"/>
    <x v="0"/>
  </r>
  <r>
    <x v="7"/>
    <s v="Emitida"/>
    <d v="2019-04-02T00:00:00"/>
    <d v="2019-04-02T00:00:00"/>
    <d v="2019-04-17T00:00:00"/>
    <m/>
    <n v="7499"/>
    <x v="160"/>
    <x v="0"/>
  </r>
  <r>
    <x v="7"/>
    <s v="Emitida"/>
    <d v="2019-04-02T00:00:00"/>
    <d v="2019-04-02T00:00:00"/>
    <d v="2019-04-17T00:00:00"/>
    <m/>
    <n v="7158"/>
    <x v="239"/>
    <x v="0"/>
  </r>
  <r>
    <x v="6"/>
    <s v="Emitida"/>
    <d v="2019-04-01T00:00:00"/>
    <d v="2019-04-01T00:00:00"/>
    <d v="2019-05-01T00:00:00"/>
    <m/>
    <n v="7061"/>
    <x v="240"/>
    <x v="0"/>
  </r>
  <r>
    <x v="6"/>
    <s v="Emitida"/>
    <d v="2019-04-01T00:00:00"/>
    <d v="2019-04-01T00:00:00"/>
    <d v="2019-05-01T00:00:00"/>
    <m/>
    <n v="7726"/>
    <x v="241"/>
    <x v="0"/>
  </r>
  <r>
    <x v="6"/>
    <s v="Emitida"/>
    <d v="2019-04-01T00:00:00"/>
    <d v="2019-04-01T00:00:00"/>
    <d v="2019-05-01T00:00:00"/>
    <m/>
    <n v="6711"/>
    <x v="216"/>
    <x v="0"/>
  </r>
  <r>
    <x v="6"/>
    <s v="Emitida"/>
    <d v="2019-04-01T00:00:00"/>
    <d v="2019-04-01T00:00:00"/>
    <d v="2019-05-01T00:00:00"/>
    <m/>
    <n v="6711"/>
    <x v="216"/>
    <x v="0"/>
  </r>
  <r>
    <x v="6"/>
    <s v="Emitida"/>
    <d v="2019-04-01T00:00:00"/>
    <d v="2019-04-01T00:00:00"/>
    <d v="2019-05-01T00:00:00"/>
    <m/>
    <n v="7011"/>
    <x v="242"/>
    <x v="0"/>
  </r>
  <r>
    <x v="6"/>
    <s v="Emitida"/>
    <d v="2019-04-01T00:00:00"/>
    <d v="2019-04-01T00:00:00"/>
    <d v="2019-05-01T00:00:00"/>
    <m/>
    <n v="6711"/>
    <x v="216"/>
    <x v="0"/>
  </r>
  <r>
    <x v="6"/>
    <s v="Emitida"/>
    <d v="2019-04-01T00:00:00"/>
    <d v="2019-04-01T00:00:00"/>
    <d v="2019-05-01T00:00:00"/>
    <m/>
    <n v="8145"/>
    <x v="243"/>
    <x v="0"/>
  </r>
  <r>
    <x v="6"/>
    <s v="Emitida"/>
    <d v="2019-04-01T00:00:00"/>
    <d v="2019-04-01T00:00:00"/>
    <d v="2019-05-01T00:00:00"/>
    <m/>
    <n v="6709"/>
    <x v="244"/>
    <x v="0"/>
  </r>
  <r>
    <x v="6"/>
    <s v="Emitida"/>
    <d v="2019-04-01T00:00:00"/>
    <d v="2019-04-01T00:00:00"/>
    <d v="2019-05-01T00:00:00"/>
    <m/>
    <n v="7627"/>
    <x v="245"/>
    <x v="0"/>
  </r>
  <r>
    <x v="6"/>
    <s v="Emitida"/>
    <d v="2019-04-01T00:00:00"/>
    <d v="2019-04-01T00:00:00"/>
    <d v="2019-05-01T00:00:00"/>
    <m/>
    <n v="7144"/>
    <x v="246"/>
    <x v="0"/>
  </r>
  <r>
    <x v="6"/>
    <s v="Emitida"/>
    <d v="2019-04-01T00:00:00"/>
    <d v="2019-04-01T00:00:00"/>
    <d v="2019-05-01T00:00:00"/>
    <m/>
    <n v="7709"/>
    <x v="247"/>
    <x v="0"/>
  </r>
  <r>
    <x v="6"/>
    <s v="Emitida"/>
    <d v="2019-04-01T00:00:00"/>
    <d v="2019-04-01T00:00:00"/>
    <d v="2019-05-01T00:00:00"/>
    <m/>
    <n v="6600"/>
    <x v="248"/>
    <x v="0"/>
  </r>
  <r>
    <x v="6"/>
    <s v="Emitida"/>
    <d v="2019-04-01T00:00:00"/>
    <d v="2019-04-01T00:00:00"/>
    <d v="2019-05-01T00:00:00"/>
    <m/>
    <n v="6711"/>
    <x v="216"/>
    <x v="0"/>
  </r>
  <r>
    <x v="6"/>
    <s v="Emitida"/>
    <d v="2019-04-01T00:00:00"/>
    <d v="2019-04-01T00:00:00"/>
    <d v="2019-05-01T00:00:00"/>
    <m/>
    <n v="8409"/>
    <x v="249"/>
    <x v="0"/>
  </r>
  <r>
    <x v="6"/>
    <s v="Emitida"/>
    <d v="2019-04-01T00:00:00"/>
    <d v="2019-04-01T00:00:00"/>
    <d v="2019-05-01T00:00:00"/>
    <m/>
    <n v="7710"/>
    <x v="250"/>
    <x v="0"/>
  </r>
  <r>
    <x v="6"/>
    <s v="Emitida"/>
    <d v="2019-04-01T00:00:00"/>
    <d v="2019-04-01T00:00:00"/>
    <d v="2019-05-01T00:00:00"/>
    <m/>
    <n v="8209"/>
    <x v="251"/>
    <x v="0"/>
  </r>
  <r>
    <x v="6"/>
    <s v="Emitida"/>
    <d v="2019-04-01T00:00:00"/>
    <d v="2019-04-01T00:00:00"/>
    <d v="2019-05-01T00:00:00"/>
    <m/>
    <n v="7011"/>
    <x v="242"/>
    <x v="0"/>
  </r>
  <r>
    <x v="6"/>
    <s v="Emitida"/>
    <d v="2019-04-01T00:00:00"/>
    <d v="2019-04-01T00:00:00"/>
    <d v="2019-05-01T00:00:00"/>
    <m/>
    <n v="7491"/>
    <x v="252"/>
    <x v="0"/>
  </r>
  <r>
    <x v="6"/>
    <s v="Emitida"/>
    <d v="2019-04-01T00:00:00"/>
    <d v="2019-04-01T00:00:00"/>
    <d v="2019-05-01T00:00:00"/>
    <m/>
    <n v="7800"/>
    <x v="253"/>
    <x v="0"/>
  </r>
  <r>
    <x v="6"/>
    <s v="Emitida"/>
    <d v="2019-04-01T00:00:00"/>
    <d v="2019-04-01T00:00:00"/>
    <d v="2019-05-01T00:00:00"/>
    <m/>
    <n v="6957"/>
    <x v="254"/>
    <x v="0"/>
  </r>
  <r>
    <x v="6"/>
    <s v="Emitida"/>
    <d v="2019-04-01T00:00:00"/>
    <d v="2019-04-01T00:00:00"/>
    <d v="2019-05-01T00:00:00"/>
    <m/>
    <n v="6900"/>
    <x v="255"/>
    <x v="0"/>
  </r>
  <r>
    <x v="6"/>
    <s v="Emitida"/>
    <d v="2019-04-01T00:00:00"/>
    <d v="2019-04-01T00:00:00"/>
    <d v="2019-05-01T00:00:00"/>
    <m/>
    <n v="6975"/>
    <x v="256"/>
    <x v="0"/>
  </r>
  <r>
    <x v="6"/>
    <s v="Emitida"/>
    <d v="2019-04-01T00:00:00"/>
    <d v="2019-04-01T00:00:00"/>
    <d v="2019-05-01T00:00:00"/>
    <m/>
    <n v="7085"/>
    <x v="257"/>
    <x v="0"/>
  </r>
  <r>
    <x v="6"/>
    <s v="Emitida"/>
    <d v="2019-04-01T00:00:00"/>
    <d v="2019-04-01T00:00:00"/>
    <d v="2019-05-01T00:00:00"/>
    <m/>
    <n v="6957"/>
    <x v="254"/>
    <x v="0"/>
  </r>
  <r>
    <x v="6"/>
    <s v="Emitida"/>
    <d v="2019-04-01T00:00:00"/>
    <d v="2019-04-01T00:00:00"/>
    <d v="2019-05-01T00:00:00"/>
    <m/>
    <n v="6600"/>
    <x v="248"/>
    <x v="0"/>
  </r>
  <r>
    <x v="6"/>
    <s v="Emitida"/>
    <d v="2019-04-01T00:00:00"/>
    <d v="2019-04-01T00:00:00"/>
    <d v="2019-05-01T00:00:00"/>
    <m/>
    <n v="7099"/>
    <x v="258"/>
    <x v="0"/>
  </r>
  <r>
    <x v="6"/>
    <s v="Emitida"/>
    <d v="2019-04-01T00:00:00"/>
    <d v="2019-04-01T00:00:00"/>
    <d v="2019-05-01T00:00:00"/>
    <m/>
    <n v="6600"/>
    <x v="248"/>
    <x v="0"/>
  </r>
  <r>
    <x v="6"/>
    <s v="Emitida"/>
    <d v="2019-04-01T00:00:00"/>
    <d v="2019-04-01T00:00:00"/>
    <d v="2019-05-01T00:00:00"/>
    <m/>
    <n v="7448"/>
    <x v="259"/>
    <x v="0"/>
  </r>
  <r>
    <x v="6"/>
    <s v="Emitida"/>
    <d v="2019-04-01T00:00:00"/>
    <d v="2019-04-01T00:00:00"/>
    <d v="2019-05-01T00:00:00"/>
    <m/>
    <n v="6900"/>
    <x v="255"/>
    <x v="0"/>
  </r>
  <r>
    <x v="19"/>
    <s v="Emitida"/>
    <d v="2019-03-28T00:00:00"/>
    <d v="2019-03-28T00:00:00"/>
    <d v="2019-04-12T00:00:00"/>
    <m/>
    <n v="25937.8"/>
    <x v="260"/>
    <x v="0"/>
  </r>
  <r>
    <x v="6"/>
    <s v="Emitida"/>
    <d v="2019-03-26T00:00:00"/>
    <d v="2019-03-26T00:00:00"/>
    <d v="2019-04-25T00:00:00"/>
    <m/>
    <n v="39946"/>
    <x v="261"/>
    <x v="0"/>
  </r>
  <r>
    <x v="19"/>
    <s v="Emitida"/>
    <d v="2019-03-26T00:00:00"/>
    <d v="2019-03-26T00:00:00"/>
    <d v="2019-04-10T00:00:00"/>
    <m/>
    <n v="1990.56"/>
    <x v="262"/>
    <x v="0"/>
  </r>
  <r>
    <x v="19"/>
    <s v="Emitida"/>
    <d v="2019-03-25T00:00:00"/>
    <d v="2019-03-25T00:00:00"/>
    <d v="2019-04-09T00:00:00"/>
    <m/>
    <n v="3170.16"/>
    <x v="263"/>
    <x v="0"/>
  </r>
  <r>
    <x v="22"/>
    <s v="Emitida"/>
    <d v="2019-03-25T00:00:00"/>
    <d v="2019-03-22T00:00:00"/>
    <d v="2019-04-09T00:00:00"/>
    <m/>
    <n v="5612"/>
    <x v="264"/>
    <x v="0"/>
  </r>
  <r>
    <x v="19"/>
    <s v="Emitida"/>
    <d v="2019-03-22T00:00:00"/>
    <d v="2019-03-22T00:00:00"/>
    <d v="2019-04-06T00:00:00"/>
    <m/>
    <n v="2666.31"/>
    <x v="265"/>
    <x v="0"/>
  </r>
  <r>
    <x v="7"/>
    <s v="Emitida"/>
    <d v="2019-03-19T00:00:00"/>
    <d v="2019-03-19T00:00:00"/>
    <d v="2019-04-03T00:00:00"/>
    <m/>
    <n v="14448"/>
    <x v="266"/>
    <x v="0"/>
  </r>
  <r>
    <x v="7"/>
    <s v="Emitida"/>
    <d v="2019-03-19T00:00:00"/>
    <d v="2019-03-19T00:00:00"/>
    <d v="2019-04-03T00:00:00"/>
    <m/>
    <n v="28793"/>
    <x v="267"/>
    <x v="0"/>
  </r>
  <r>
    <x v="7"/>
    <s v="Emitida"/>
    <d v="2019-03-19T00:00:00"/>
    <d v="2019-03-14T00:00:00"/>
    <d v="2019-04-03T00:00:00"/>
    <m/>
    <n v="7167"/>
    <x v="222"/>
    <x v="0"/>
  </r>
  <r>
    <x v="7"/>
    <s v="Emitida"/>
    <d v="2019-03-19T00:00:00"/>
    <d v="2019-03-14T00:00:00"/>
    <d v="2019-04-03T00:00:00"/>
    <m/>
    <n v="22392"/>
    <x v="268"/>
    <x v="0"/>
  </r>
  <r>
    <x v="7"/>
    <s v="Emitida"/>
    <d v="2019-03-19T00:00:00"/>
    <d v="2019-03-19T00:00:00"/>
    <d v="2019-04-03T00:00:00"/>
    <m/>
    <n v="13815"/>
    <x v="269"/>
    <x v="0"/>
  </r>
  <r>
    <x v="7"/>
    <s v="Emitida"/>
    <d v="2019-03-19T00:00:00"/>
    <d v="2019-03-19T00:00:00"/>
    <d v="2019-04-03T00:00:00"/>
    <m/>
    <n v="6140"/>
    <x v="270"/>
    <x v="0"/>
  </r>
  <r>
    <x v="19"/>
    <s v="Emitida"/>
    <d v="2019-03-19T00:00:00"/>
    <d v="2019-03-19T00:00:00"/>
    <d v="2019-04-03T00:00:00"/>
    <m/>
    <n v="7592.76"/>
    <x v="271"/>
    <x v="0"/>
  </r>
  <r>
    <x v="7"/>
    <s v="Emitida"/>
    <d v="2019-03-19T00:00:00"/>
    <d v="2019-03-19T00:00:00"/>
    <d v="2019-04-03T00:00:00"/>
    <m/>
    <n v="13841"/>
    <x v="272"/>
    <x v="0"/>
  </r>
  <r>
    <x v="7"/>
    <s v="Emitida"/>
    <d v="2019-03-19T00:00:00"/>
    <d v="2019-03-19T00:00:00"/>
    <d v="2019-04-03T00:00:00"/>
    <m/>
    <n v="27546"/>
    <x v="273"/>
    <x v="0"/>
  </r>
  <r>
    <x v="14"/>
    <s v="Emitida"/>
    <d v="2019-03-14T00:00:00"/>
    <d v="2019-03-14T00:00:00"/>
    <d v="2019-03-21T00:00:00"/>
    <m/>
    <n v="525.23"/>
    <x v="274"/>
    <x v="0"/>
  </r>
  <r>
    <x v="9"/>
    <s v="Emitida"/>
    <d v="2019-03-14T00:00:00"/>
    <d v="2019-03-14T00:00:00"/>
    <d v="2019-03-21T00:00:00"/>
    <m/>
    <n v="10400"/>
    <x v="275"/>
    <x v="0"/>
  </r>
  <r>
    <x v="2"/>
    <s v="Emitida"/>
    <d v="2019-03-13T00:00:00"/>
    <d v="2019-03-13T00:00:00"/>
    <d v="2019-04-12T00:00:00"/>
    <m/>
    <n v="3546"/>
    <x v="276"/>
    <x v="0"/>
  </r>
  <r>
    <x v="19"/>
    <s v="Emitida"/>
    <d v="2019-03-13T00:00:00"/>
    <d v="2019-03-13T00:00:00"/>
    <d v="2019-03-28T00:00:00"/>
    <m/>
    <n v="18351.900000000001"/>
    <x v="277"/>
    <x v="0"/>
  </r>
  <r>
    <x v="19"/>
    <s v="Emitida"/>
    <d v="2019-03-12T00:00:00"/>
    <d v="2019-03-12T00:00:00"/>
    <d v="2019-03-27T00:00:00"/>
    <m/>
    <n v="7144.32"/>
    <x v="278"/>
    <x v="0"/>
  </r>
  <r>
    <x v="8"/>
    <s v="Emitida"/>
    <d v="2019-03-11T00:00:00"/>
    <d v="2019-03-11T00:00:00"/>
    <d v="2019-04-25T00:00:00"/>
    <m/>
    <n v="29923"/>
    <x v="279"/>
    <x v="0"/>
  </r>
  <r>
    <x v="8"/>
    <s v="Emitida"/>
    <d v="2019-03-11T00:00:00"/>
    <d v="2019-03-11T00:00:00"/>
    <d v="2019-04-25T00:00:00"/>
    <m/>
    <n v="28391"/>
    <x v="280"/>
    <x v="0"/>
  </r>
  <r>
    <x v="8"/>
    <s v="Emitida"/>
    <d v="2019-03-11T00:00:00"/>
    <d v="2019-03-11T00:00:00"/>
    <d v="2019-04-25T00:00:00"/>
    <m/>
    <n v="28391"/>
    <x v="280"/>
    <x v="0"/>
  </r>
  <r>
    <x v="19"/>
    <s v="Emitida"/>
    <d v="2019-03-08T00:00:00"/>
    <d v="2019-03-08T00:00:00"/>
    <d v="2019-03-23T00:00:00"/>
    <m/>
    <n v="10924.6"/>
    <x v="281"/>
    <x v="0"/>
  </r>
  <r>
    <x v="6"/>
    <s v="Emitida"/>
    <d v="2019-03-07T00:00:00"/>
    <d v="2019-03-07T00:00:00"/>
    <d v="2019-04-06T00:00:00"/>
    <m/>
    <n v="19896"/>
    <x v="282"/>
    <x v="0"/>
  </r>
  <r>
    <x v="8"/>
    <s v="Emitida"/>
    <d v="2019-03-07T00:00:00"/>
    <d v="2019-03-07T00:00:00"/>
    <d v="2019-04-21T00:00:00"/>
    <m/>
    <n v="11776"/>
    <x v="283"/>
    <x v="0"/>
  </r>
  <r>
    <x v="6"/>
    <s v="Emitida"/>
    <d v="2019-03-06T00:00:00"/>
    <d v="2019-03-06T00:00:00"/>
    <d v="2019-04-05T00:00:00"/>
    <m/>
    <n v="16532"/>
    <x v="284"/>
    <x v="0"/>
  </r>
  <r>
    <x v="7"/>
    <s v="Emitida"/>
    <d v="2019-03-05T00:00:00"/>
    <d v="2019-03-05T00:00:00"/>
    <d v="2019-03-20T00:00:00"/>
    <m/>
    <n v="818"/>
    <x v="285"/>
    <x v="0"/>
  </r>
  <r>
    <x v="7"/>
    <s v="Emitida"/>
    <d v="2019-03-01T00:00:00"/>
    <d v="2019-03-01T00:00:00"/>
    <d v="2019-03-16T00:00:00"/>
    <m/>
    <n v="34561"/>
    <x v="286"/>
    <x v="0"/>
  </r>
  <r>
    <x v="7"/>
    <s v="Emitida"/>
    <d v="2019-03-01T00:00:00"/>
    <d v="2019-03-01T00:00:00"/>
    <d v="2019-03-16T00:00:00"/>
    <m/>
    <n v="12287"/>
    <x v="287"/>
    <x v="0"/>
  </r>
  <r>
    <x v="7"/>
    <s v="Emitida"/>
    <d v="2019-03-01T00:00:00"/>
    <d v="2019-03-01T00:00:00"/>
    <d v="2019-03-16T00:00:00"/>
    <m/>
    <n v="39392"/>
    <x v="288"/>
    <x v="0"/>
  </r>
  <r>
    <x v="7"/>
    <s v="Emitida"/>
    <d v="2019-03-01T00:00:00"/>
    <d v="2019-03-01T00:00:00"/>
    <d v="2019-03-16T00:00:00"/>
    <m/>
    <n v="7571"/>
    <x v="289"/>
    <x v="0"/>
  </r>
  <r>
    <x v="7"/>
    <s v="Emitida"/>
    <d v="2019-03-01T00:00:00"/>
    <d v="2019-02-07T00:00:00"/>
    <d v="2019-03-16T00:00:00"/>
    <m/>
    <n v="39698"/>
    <x v="290"/>
    <x v="0"/>
  </r>
  <r>
    <x v="7"/>
    <s v="Emitida"/>
    <d v="2019-03-01T00:00:00"/>
    <d v="2019-03-01T00:00:00"/>
    <d v="2019-03-16T00:00:00"/>
    <m/>
    <n v="14472"/>
    <x v="291"/>
    <x v="0"/>
  </r>
  <r>
    <x v="7"/>
    <s v="Emitida"/>
    <d v="2019-03-01T00:00:00"/>
    <d v="2019-03-01T00:00:00"/>
    <d v="2019-03-16T00:00:00"/>
    <m/>
    <n v="27522"/>
    <x v="292"/>
    <x v="0"/>
  </r>
  <r>
    <x v="7"/>
    <s v="Emitida"/>
    <d v="2019-03-01T00:00:00"/>
    <d v="2019-02-25T00:00:00"/>
    <d v="2019-03-16T00:00:00"/>
    <m/>
    <n v="19997"/>
    <x v="293"/>
    <x v="0"/>
  </r>
  <r>
    <x v="7"/>
    <s v="Emitida"/>
    <d v="2019-03-01T00:00:00"/>
    <d v="2019-03-01T00:00:00"/>
    <d v="2019-03-16T00:00:00"/>
    <m/>
    <n v="18273"/>
    <x v="294"/>
    <x v="0"/>
  </r>
  <r>
    <x v="7"/>
    <s v="Emitida"/>
    <d v="2019-03-01T00:00:00"/>
    <d v="2019-03-01T00:00:00"/>
    <d v="2019-03-16T00:00:00"/>
    <m/>
    <n v="11911"/>
    <x v="295"/>
    <x v="0"/>
  </r>
  <r>
    <x v="7"/>
    <s v="Emitida"/>
    <d v="2019-03-01T00:00:00"/>
    <d v="2019-02-25T00:00:00"/>
    <d v="2019-03-16T00:00:00"/>
    <m/>
    <n v="42440"/>
    <x v="296"/>
    <x v="0"/>
  </r>
  <r>
    <x v="2"/>
    <s v="Emitida"/>
    <d v="2019-03-01T00:00:00"/>
    <d v="2019-03-01T00:00:00"/>
    <d v="2019-03-31T00:00:00"/>
    <m/>
    <n v="449"/>
    <x v="297"/>
    <x v="0"/>
  </r>
  <r>
    <x v="2"/>
    <s v="Emitida"/>
    <d v="2019-02-28T00:00:00"/>
    <d v="2019-02-28T00:00:00"/>
    <d v="2019-03-30T00:00:00"/>
    <m/>
    <n v="14566"/>
    <x v="298"/>
    <x v="0"/>
  </r>
  <r>
    <x v="14"/>
    <s v="Emitida"/>
    <d v="2019-02-27T00:00:00"/>
    <d v="2019-02-27T00:00:00"/>
    <d v="2019-03-06T00:00:00"/>
    <m/>
    <n v="1477"/>
    <x v="219"/>
    <x v="0"/>
  </r>
  <r>
    <x v="19"/>
    <s v="Emitida"/>
    <d v="2019-02-27T00:00:00"/>
    <d v="2019-02-27T00:00:00"/>
    <d v="2019-03-14T00:00:00"/>
    <m/>
    <n v="43230.3"/>
    <x v="299"/>
    <x v="0"/>
  </r>
  <r>
    <x v="6"/>
    <s v="Emitida"/>
    <d v="2019-02-27T00:00:00"/>
    <d v="2019-02-27T00:00:00"/>
    <d v="2019-03-29T00:00:00"/>
    <m/>
    <n v="1920"/>
    <x v="194"/>
    <x v="0"/>
  </r>
  <r>
    <x v="11"/>
    <s v="Emitida"/>
    <d v="2019-02-26T00:00:00"/>
    <d v="2019-02-26T00:00:00"/>
    <d v="2019-04-27T00:00:00"/>
    <m/>
    <n v="4144"/>
    <x v="300"/>
    <x v="0"/>
  </r>
  <r>
    <x v="19"/>
    <s v="Emitida"/>
    <d v="2019-02-22T00:00:00"/>
    <d v="2019-02-22T00:00:00"/>
    <d v="2019-03-09T00:00:00"/>
    <m/>
    <n v="3855.18"/>
    <x v="301"/>
    <x v="0"/>
  </r>
  <r>
    <x v="19"/>
    <s v="Emitida"/>
    <d v="2019-02-22T00:00:00"/>
    <d v="2019-02-22T00:00:00"/>
    <d v="2019-03-09T00:00:00"/>
    <m/>
    <n v="1956.36"/>
    <x v="302"/>
    <x v="0"/>
  </r>
  <r>
    <x v="19"/>
    <s v="Emitida"/>
    <d v="2019-02-22T00:00:00"/>
    <d v="2019-02-22T00:00:00"/>
    <d v="2019-03-09T00:00:00"/>
    <m/>
    <n v="2761.92"/>
    <x v="303"/>
    <x v="0"/>
  </r>
  <r>
    <x v="19"/>
    <s v="Emitida"/>
    <d v="2019-02-22T00:00:00"/>
    <d v="2019-02-22T00:00:00"/>
    <d v="2019-03-09T00:00:00"/>
    <m/>
    <n v="3912.72"/>
    <x v="304"/>
    <x v="0"/>
  </r>
  <r>
    <x v="19"/>
    <s v="Emitida"/>
    <d v="2019-02-22T00:00:00"/>
    <d v="2019-02-22T00:00:00"/>
    <d v="2019-03-09T00:00:00"/>
    <m/>
    <n v="1956.36"/>
    <x v="302"/>
    <x v="0"/>
  </r>
  <r>
    <x v="19"/>
    <s v="Emitida"/>
    <d v="2019-02-22T00:00:00"/>
    <d v="2019-02-22T00:00:00"/>
    <d v="2019-03-09T00:00:00"/>
    <m/>
    <n v="8285.76"/>
    <x v="305"/>
    <x v="0"/>
  </r>
  <r>
    <x v="19"/>
    <s v="Emitida"/>
    <d v="2019-02-22T00:00:00"/>
    <d v="2019-02-22T00:00:00"/>
    <d v="2019-03-09T00:00:00"/>
    <m/>
    <n v="13809.6"/>
    <x v="306"/>
    <x v="0"/>
  </r>
  <r>
    <x v="19"/>
    <s v="Emitida"/>
    <d v="2019-02-22T00:00:00"/>
    <d v="2019-02-22T00:00:00"/>
    <d v="2019-03-09T00:00:00"/>
    <m/>
    <n v="8631"/>
    <x v="307"/>
    <x v="0"/>
  </r>
  <r>
    <x v="19"/>
    <s v="Emitida"/>
    <d v="2019-02-22T00:00:00"/>
    <d v="2019-02-22T00:00:00"/>
    <d v="2019-03-09T00:00:00"/>
    <m/>
    <n v="5523.84"/>
    <x v="308"/>
    <x v="0"/>
  </r>
  <r>
    <x v="23"/>
    <s v="Emitida"/>
    <d v="2019-02-20T00:00:00"/>
    <d v="2019-02-15T00:00:00"/>
    <d v="2019-04-21T00:00:00"/>
    <m/>
    <n v="18400"/>
    <x v="309"/>
    <x v="0"/>
  </r>
  <r>
    <x v="7"/>
    <s v="Emitida"/>
    <d v="2019-02-20T00:00:00"/>
    <d v="2019-02-19T00:00:00"/>
    <d v="2019-03-07T00:00:00"/>
    <m/>
    <n v="13610"/>
    <x v="310"/>
    <x v="0"/>
  </r>
  <r>
    <x v="7"/>
    <s v="Emitida"/>
    <d v="2019-02-20T00:00:00"/>
    <d v="2019-02-19T00:00:00"/>
    <d v="2019-03-07T00:00:00"/>
    <m/>
    <n v="26713"/>
    <x v="311"/>
    <x v="0"/>
  </r>
  <r>
    <x v="24"/>
    <s v="Emitida"/>
    <d v="2019-02-19T00:00:00"/>
    <d v="2019-02-19T00:00:00"/>
    <d v="2019-02-27T00:00:00"/>
    <m/>
    <n v="7618.92"/>
    <x v="312"/>
    <x v="0"/>
  </r>
  <r>
    <x v="19"/>
    <s v="Emitida"/>
    <d v="2019-02-19T00:00:00"/>
    <d v="2019-02-19T00:00:00"/>
    <d v="2019-03-06T00:00:00"/>
    <m/>
    <n v="2516.8000000000002"/>
    <x v="313"/>
    <x v="0"/>
  </r>
  <r>
    <x v="19"/>
    <s v="Emitida"/>
    <d v="2019-02-19T00:00:00"/>
    <d v="2019-02-19T00:00:00"/>
    <d v="2019-03-06T00:00:00"/>
    <m/>
    <n v="27413.7"/>
    <x v="314"/>
    <x v="0"/>
  </r>
  <r>
    <x v="23"/>
    <s v="Emitida"/>
    <d v="2019-02-14T00:00:00"/>
    <d v="2019-02-14T00:00:00"/>
    <d v="2019-04-15T00:00:00"/>
    <m/>
    <n v="12500"/>
    <x v="315"/>
    <x v="0"/>
  </r>
  <r>
    <x v="19"/>
    <s v="Emitida"/>
    <d v="2019-02-14T00:00:00"/>
    <d v="2019-02-14T00:00:00"/>
    <d v="2019-03-01T00:00:00"/>
    <m/>
    <n v="21725.200000000001"/>
    <x v="316"/>
    <x v="0"/>
  </r>
  <r>
    <x v="19"/>
    <s v="Emitida"/>
    <d v="2019-02-14T00:00:00"/>
    <d v="2019-02-14T00:00:00"/>
    <d v="2019-03-01T00:00:00"/>
    <m/>
    <n v="8146.98"/>
    <x v="317"/>
    <x v="0"/>
  </r>
  <r>
    <x v="19"/>
    <s v="Emitida"/>
    <d v="2019-02-14T00:00:00"/>
    <d v="2019-02-14T00:00:00"/>
    <d v="2019-03-01T00:00:00"/>
    <m/>
    <n v="9630"/>
    <x v="318"/>
    <x v="0"/>
  </r>
  <r>
    <x v="19"/>
    <s v="Emitida"/>
    <d v="2019-02-14T00:00:00"/>
    <d v="2019-02-14T00:00:00"/>
    <d v="2019-03-01T00:00:00"/>
    <m/>
    <n v="7626.96"/>
    <x v="319"/>
    <x v="0"/>
  </r>
  <r>
    <x v="19"/>
    <s v="Emitida"/>
    <d v="2019-02-14T00:00:00"/>
    <d v="2019-02-14T00:00:00"/>
    <d v="2019-03-01T00:00:00"/>
    <m/>
    <n v="19991.8"/>
    <x v="320"/>
    <x v="0"/>
  </r>
  <r>
    <x v="19"/>
    <s v="Emitida"/>
    <d v="2019-02-14T00:00:00"/>
    <d v="2019-02-14T00:00:00"/>
    <d v="2019-03-01T00:00:00"/>
    <m/>
    <n v="6663.96"/>
    <x v="321"/>
    <x v="0"/>
  </r>
  <r>
    <x v="14"/>
    <s v="Emitida"/>
    <d v="2019-02-13T00:00:00"/>
    <d v="2019-02-13T00:00:00"/>
    <d v="2019-02-20T00:00:00"/>
    <m/>
    <n v="1166"/>
    <x v="322"/>
    <x v="0"/>
  </r>
  <r>
    <x v="14"/>
    <s v="Emitida"/>
    <d v="2019-02-12T00:00:00"/>
    <d v="2019-02-12T00:00:00"/>
    <d v="2019-02-19T00:00:00"/>
    <m/>
    <n v="519.25"/>
    <x v="323"/>
    <x v="0"/>
  </r>
  <r>
    <x v="14"/>
    <s v="Emitida"/>
    <d v="2019-02-12T00:00:00"/>
    <d v="2019-02-12T00:00:00"/>
    <d v="2019-02-19T00:00:00"/>
    <m/>
    <n v="6452.42"/>
    <x v="324"/>
    <x v="0"/>
  </r>
  <r>
    <x v="6"/>
    <s v="Emitida"/>
    <d v="2019-02-12T00:00:00"/>
    <d v="2019-02-12T00:00:00"/>
    <d v="2019-03-14T00:00:00"/>
    <m/>
    <n v="4230"/>
    <x v="325"/>
    <x v="0"/>
  </r>
  <r>
    <x v="7"/>
    <s v="Emitida"/>
    <d v="2019-02-12T00:00:00"/>
    <d v="2019-02-11T00:00:00"/>
    <d v="2019-02-27T00:00:00"/>
    <m/>
    <n v="6161"/>
    <x v="141"/>
    <x v="0"/>
  </r>
  <r>
    <x v="7"/>
    <s v="Emitida"/>
    <d v="2019-02-12T00:00:00"/>
    <d v="2019-02-11T00:00:00"/>
    <d v="2019-02-27T00:00:00"/>
    <m/>
    <n v="21637"/>
    <x v="326"/>
    <x v="0"/>
  </r>
  <r>
    <x v="19"/>
    <s v="Emitida"/>
    <d v="2019-02-11T00:00:00"/>
    <d v="2019-02-11T00:00:00"/>
    <d v="2019-02-26T00:00:00"/>
    <m/>
    <n v="1717.2"/>
    <x v="327"/>
    <x v="0"/>
  </r>
  <r>
    <x v="25"/>
    <s v="Emitida"/>
    <d v="2019-02-11T00:00:00"/>
    <d v="2019-02-11T00:00:00"/>
    <d v="2019-02-26T00:00:00"/>
    <m/>
    <n v="23200"/>
    <x v="328"/>
    <x v="0"/>
  </r>
  <r>
    <x v="9"/>
    <s v="Emitida"/>
    <d v="2019-02-11T00:00:00"/>
    <d v="2019-02-11T00:00:00"/>
    <d v="2019-02-18T00:00:00"/>
    <m/>
    <n v="45213"/>
    <x v="329"/>
    <x v="0"/>
  </r>
  <r>
    <x v="19"/>
    <s v="Emitida"/>
    <d v="2019-02-08T00:00:00"/>
    <d v="2019-02-08T00:00:00"/>
    <d v="2019-02-23T00:00:00"/>
    <m/>
    <n v="12230.4"/>
    <x v="330"/>
    <x v="0"/>
  </r>
  <r>
    <x v="8"/>
    <s v="Emitida"/>
    <d v="2019-02-05T00:00:00"/>
    <d v="2019-02-05T00:00:00"/>
    <d v="2019-03-22T00:00:00"/>
    <m/>
    <n v="11225"/>
    <x v="331"/>
    <x v="0"/>
  </r>
  <r>
    <x v="26"/>
    <s v="Emitida"/>
    <d v="2019-02-05T00:00:00"/>
    <d v="2019-02-05T00:00:00"/>
    <d v="2019-02-13T00:00:00"/>
    <m/>
    <n v="76728.899999999994"/>
    <x v="332"/>
    <x v="0"/>
  </r>
  <r>
    <x v="13"/>
    <s v="Emitida"/>
    <d v="2019-02-05T00:00:00"/>
    <d v="2019-02-05T00:00:00"/>
    <d v="2019-03-07T00:00:00"/>
    <m/>
    <n v="11143.5"/>
    <x v="333"/>
    <x v="0"/>
  </r>
  <r>
    <x v="7"/>
    <s v="Emitida"/>
    <d v="2019-02-01T00:00:00"/>
    <d v="2019-01-25T00:00:00"/>
    <d v="2019-02-16T00:00:00"/>
    <m/>
    <n v="31360"/>
    <x v="334"/>
    <x v="0"/>
  </r>
  <r>
    <x v="7"/>
    <s v="Emitida"/>
    <d v="2019-02-01T00:00:00"/>
    <d v="2019-01-24T00:00:00"/>
    <d v="2019-02-16T00:00:00"/>
    <m/>
    <n v="37974"/>
    <x v="335"/>
    <x v="0"/>
  </r>
  <r>
    <x v="7"/>
    <s v="Emitida"/>
    <d v="2019-02-01T00:00:00"/>
    <d v="2019-02-01T00:00:00"/>
    <d v="2019-02-16T00:00:00"/>
    <m/>
    <n v="28640"/>
    <x v="336"/>
    <x v="0"/>
  </r>
  <r>
    <x v="26"/>
    <s v="Emitida"/>
    <d v="2019-02-01T00:00:00"/>
    <d v="2019-02-01T00:00:00"/>
    <d v="2019-02-09T00:00:00"/>
    <m/>
    <n v="9196.7999999999993"/>
    <x v="337"/>
    <x v="0"/>
  </r>
  <r>
    <x v="7"/>
    <s v="Emitida"/>
    <d v="2019-01-29T00:00:00"/>
    <d v="2019-01-22T00:00:00"/>
    <d v="2019-02-13T00:00:00"/>
    <m/>
    <n v="30390"/>
    <x v="338"/>
    <x v="0"/>
  </r>
  <r>
    <x v="6"/>
    <s v="Emitida"/>
    <d v="2019-01-29T00:00:00"/>
    <d v="2019-01-29T00:00:00"/>
    <d v="2019-02-28T00:00:00"/>
    <m/>
    <n v="3840"/>
    <x v="339"/>
    <x v="0"/>
  </r>
  <r>
    <x v="2"/>
    <s v="Emitida"/>
    <d v="2019-01-29T00:00:00"/>
    <d v="2019-01-29T00:00:00"/>
    <d v="2019-02-28T00:00:00"/>
    <m/>
    <n v="2322"/>
    <x v="340"/>
    <x v="0"/>
  </r>
  <r>
    <x v="26"/>
    <s v="Emitida"/>
    <d v="2019-01-28T00:00:00"/>
    <d v="2019-01-25T00:00:00"/>
    <d v="2019-02-05T00:00:00"/>
    <m/>
    <n v="7001.3"/>
    <x v="341"/>
    <x v="0"/>
  </r>
  <r>
    <x v="26"/>
    <s v="Emitida"/>
    <d v="2019-01-28T00:00:00"/>
    <d v="2019-01-25T00:00:00"/>
    <d v="2019-02-05T00:00:00"/>
    <m/>
    <n v="5723.13"/>
    <x v="342"/>
    <x v="0"/>
  </r>
  <r>
    <x v="26"/>
    <s v="Emitida"/>
    <d v="2019-01-28T00:00:00"/>
    <d v="2019-01-28T00:00:00"/>
    <d v="2019-02-05T00:00:00"/>
    <m/>
    <n v="24428.6"/>
    <x v="343"/>
    <x v="0"/>
  </r>
  <r>
    <x v="26"/>
    <s v="Emitida"/>
    <d v="2019-01-28T00:00:00"/>
    <d v="2019-01-28T00:00:00"/>
    <d v="2019-02-05T00:00:00"/>
    <m/>
    <n v="14403.2"/>
    <x v="344"/>
    <x v="0"/>
  </r>
  <r>
    <x v="26"/>
    <s v="Emitida"/>
    <d v="2019-01-28T00:00:00"/>
    <d v="2019-01-28T00:00:00"/>
    <d v="2019-02-05T00:00:00"/>
    <m/>
    <n v="16024.7"/>
    <x v="345"/>
    <x v="0"/>
  </r>
  <r>
    <x v="26"/>
    <s v="Emitida"/>
    <d v="2019-01-28T00:00:00"/>
    <d v="2019-01-28T00:00:00"/>
    <d v="2019-02-05T00:00:00"/>
    <m/>
    <n v="17455.5"/>
    <x v="346"/>
    <x v="0"/>
  </r>
  <r>
    <x v="9"/>
    <s v="Emitida"/>
    <d v="2019-01-28T00:00:00"/>
    <d v="2019-01-28T00:00:00"/>
    <d v="2019-02-04T00:00:00"/>
    <m/>
    <n v="9720"/>
    <x v="347"/>
    <x v="0"/>
  </r>
  <r>
    <x v="26"/>
    <s v="Emitida"/>
    <d v="2019-01-25T00:00:00"/>
    <d v="2019-01-25T00:00:00"/>
    <d v="2019-02-02T00:00:00"/>
    <m/>
    <n v="7440.07"/>
    <x v="348"/>
    <x v="0"/>
  </r>
  <r>
    <x v="26"/>
    <s v="Emitida"/>
    <d v="2019-01-24T00:00:00"/>
    <d v="2019-01-24T00:00:00"/>
    <d v="2019-02-01T00:00:00"/>
    <m/>
    <n v="7460.7"/>
    <x v="349"/>
    <x v="0"/>
  </r>
  <r>
    <x v="2"/>
    <s v="Emitida"/>
    <d v="2019-01-24T00:00:00"/>
    <d v="2019-01-24T00:00:00"/>
    <d v="2019-02-23T00:00:00"/>
    <m/>
    <n v="1548"/>
    <x v="350"/>
    <x v="0"/>
  </r>
  <r>
    <x v="26"/>
    <s v="Emitida"/>
    <d v="2019-01-23T00:00:00"/>
    <d v="2019-01-23T00:00:00"/>
    <d v="2019-01-31T00:00:00"/>
    <m/>
    <n v="17501.2"/>
    <x v="351"/>
    <x v="0"/>
  </r>
  <r>
    <x v="7"/>
    <s v="Emitida"/>
    <d v="2019-01-21T00:00:00"/>
    <d v="2019-01-18T00:00:00"/>
    <d v="2019-02-05T00:00:00"/>
    <m/>
    <n v="28538"/>
    <x v="352"/>
    <x v="0"/>
  </r>
  <r>
    <x v="7"/>
    <s v="Emitida"/>
    <d v="2019-01-21T00:00:00"/>
    <d v="2019-01-17T00:00:00"/>
    <d v="2019-02-05T00:00:00"/>
    <m/>
    <n v="48770"/>
    <x v="353"/>
    <x v="0"/>
  </r>
  <r>
    <x v="26"/>
    <s v="Emitida"/>
    <d v="2019-01-18T00:00:00"/>
    <d v="2019-01-18T00:00:00"/>
    <d v="2019-01-26T00:00:00"/>
    <m/>
    <n v="14546.3"/>
    <x v="354"/>
    <x v="0"/>
  </r>
  <r>
    <x v="26"/>
    <s v="Emitida"/>
    <d v="2019-01-15T00:00:00"/>
    <d v="2019-01-15T00:00:00"/>
    <d v="2019-01-23T00:00:00"/>
    <m/>
    <n v="11433.7"/>
    <x v="355"/>
    <x v="0"/>
  </r>
  <r>
    <x v="10"/>
    <s v="Emitida"/>
    <d v="2019-01-11T00:00:00"/>
    <d v="2019-01-11T00:00:00"/>
    <d v="2019-02-10T00:00:00"/>
    <m/>
    <n v="2425.5"/>
    <x v="356"/>
    <x v="0"/>
  </r>
  <r>
    <x v="6"/>
    <s v="Emitida"/>
    <d v="2019-01-11T00:00:00"/>
    <d v="2019-01-09T00:00:00"/>
    <d v="2019-02-10T00:00:00"/>
    <m/>
    <n v="25932"/>
    <x v="357"/>
    <x v="0"/>
  </r>
  <r>
    <x v="26"/>
    <s v="Emitida"/>
    <d v="2019-01-10T00:00:00"/>
    <d v="2019-01-10T00:00:00"/>
    <d v="2019-01-18T00:00:00"/>
    <m/>
    <n v="6966"/>
    <x v="358"/>
    <x v="0"/>
  </r>
  <r>
    <x v="26"/>
    <s v="Emitida"/>
    <d v="2019-01-10T00:00:00"/>
    <d v="2019-01-10T00:00:00"/>
    <d v="2019-01-18T00:00:00"/>
    <m/>
    <n v="1741.5"/>
    <x v="359"/>
    <x v="0"/>
  </r>
  <r>
    <x v="26"/>
    <s v="Emitida"/>
    <d v="2019-01-10T00:00:00"/>
    <d v="2019-01-10T00:00:00"/>
    <d v="2019-01-18T00:00:00"/>
    <m/>
    <n v="35410.5"/>
    <x v="360"/>
    <x v="0"/>
  </r>
  <r>
    <x v="8"/>
    <s v="Emitida"/>
    <d v="2019-01-10T00:00:00"/>
    <d v="2019-01-10T00:00:00"/>
    <d v="2019-02-24T00:00:00"/>
    <m/>
    <n v="37716"/>
    <x v="361"/>
    <x v="0"/>
  </r>
  <r>
    <x v="0"/>
    <s v="Emitida"/>
    <d v="2019-01-09T00:00:00"/>
    <d v="2019-01-09T00:00:00"/>
    <d v="2019-01-16T00:00:00"/>
    <m/>
    <n v="1950"/>
    <x v="362"/>
    <x v="0"/>
  </r>
  <r>
    <x v="27"/>
    <s v="Emitida"/>
    <d v="2019-01-08T00:00:00"/>
    <d v="2019-01-08T00:00:00"/>
    <d v="2019-01-08T00:00:00"/>
    <m/>
    <n v="11200"/>
    <x v="363"/>
    <x v="0"/>
  </r>
  <r>
    <x v="6"/>
    <s v="Emitida"/>
    <d v="2019-01-08T00:00:00"/>
    <d v="2019-01-08T00:00:00"/>
    <d v="2019-02-07T00:00:00"/>
    <m/>
    <n v="19896"/>
    <x v="282"/>
    <x v="0"/>
  </r>
  <r>
    <x v="9"/>
    <s v="Emitida"/>
    <d v="2019-01-07T00:00:00"/>
    <d v="2019-01-07T00:00:00"/>
    <d v="2019-01-14T00:00:00"/>
    <m/>
    <n v="11320"/>
    <x v="364"/>
    <x v="0"/>
  </r>
  <r>
    <x v="9"/>
    <s v="Emitida"/>
    <d v="2019-01-07T00:00:00"/>
    <d v="2019-01-07T00:00:00"/>
    <d v="2019-01-14T00:00:00"/>
    <m/>
    <n v="9150"/>
    <x v="365"/>
    <x v="0"/>
  </r>
  <r>
    <x v="6"/>
    <s v="Emitida"/>
    <d v="2019-01-07T00:00:00"/>
    <d v="2019-01-07T00:00:00"/>
    <d v="2019-02-06T00:00:00"/>
    <m/>
    <n v="36696"/>
    <x v="366"/>
    <x v="0"/>
  </r>
  <r>
    <x v="13"/>
    <s v="Emitida"/>
    <d v="2019-01-03T00:00:00"/>
    <d v="2019-01-03T00:00:00"/>
    <d v="2019-02-02T00:00:00"/>
    <m/>
    <n v="7532"/>
    <x v="367"/>
    <x v="0"/>
  </r>
  <r>
    <x v="25"/>
    <s v="Emitida"/>
    <d v="2019-01-02T00:00:00"/>
    <d v="2019-01-02T00:00:00"/>
    <d v="2019-01-17T00:00:00"/>
    <m/>
    <n v="23200"/>
    <x v="328"/>
    <x v="0"/>
  </r>
  <r>
    <x v="26"/>
    <s v="Emitida"/>
    <d v="2018-12-19T00:00:00"/>
    <d v="2018-12-19T00:00:00"/>
    <d v="2018-12-27T00:00:00"/>
    <m/>
    <n v="4042.11"/>
    <x v="368"/>
    <x v="0"/>
  </r>
  <r>
    <x v="26"/>
    <s v="Emitida"/>
    <d v="2018-12-19T00:00:00"/>
    <d v="2018-12-19T00:00:00"/>
    <d v="2018-12-27T00:00:00"/>
    <m/>
    <n v="3619.8"/>
    <x v="369"/>
    <x v="0"/>
  </r>
  <r>
    <x v="26"/>
    <s v="Emitida"/>
    <d v="2018-12-19T00:00:00"/>
    <d v="2018-12-19T00:00:00"/>
    <d v="2018-12-27T00:00:00"/>
    <m/>
    <n v="24614.6"/>
    <x v="370"/>
    <x v="0"/>
  </r>
  <r>
    <x v="26"/>
    <s v="Emitida"/>
    <d v="2018-12-19T00:00:00"/>
    <d v="2018-12-19T00:00:00"/>
    <d v="2018-12-27T00:00:00"/>
    <m/>
    <n v="17354.900000000001"/>
    <x v="371"/>
    <x v="0"/>
  </r>
  <r>
    <x v="26"/>
    <s v="Emitida"/>
    <d v="2018-12-19T00:00:00"/>
    <d v="2018-12-19T00:00:00"/>
    <d v="2018-12-27T00:00:00"/>
    <m/>
    <n v="28113.7"/>
    <x v="372"/>
    <x v="0"/>
  </r>
  <r>
    <x v="26"/>
    <s v="Emitida"/>
    <d v="2018-12-19T00:00:00"/>
    <d v="2018-12-19T00:00:00"/>
    <d v="2018-12-27T00:00:00"/>
    <m/>
    <n v="20431.7"/>
    <x v="373"/>
    <x v="0"/>
  </r>
  <r>
    <x v="13"/>
    <s v="Emitida"/>
    <d v="2018-12-19T00:00:00"/>
    <d v="2018-12-19T00:00:00"/>
    <d v="2019-01-18T00:00:00"/>
    <m/>
    <n v="22833.4"/>
    <x v="374"/>
    <x v="0"/>
  </r>
  <r>
    <x v="26"/>
    <s v="Emitida"/>
    <d v="2018-12-17T00:00:00"/>
    <d v="2018-12-14T00:00:00"/>
    <d v="2018-12-25T00:00:00"/>
    <m/>
    <n v="13857.8"/>
    <x v="375"/>
    <x v="0"/>
  </r>
  <r>
    <x v="26"/>
    <s v="Emitida"/>
    <d v="2018-12-14T00:00:00"/>
    <d v="2018-12-14T00:00:00"/>
    <d v="2018-12-22T00:00:00"/>
    <m/>
    <n v="28162.5"/>
    <x v="376"/>
    <x v="0"/>
  </r>
  <r>
    <x v="26"/>
    <s v="Emitida"/>
    <d v="2018-12-14T00:00:00"/>
    <d v="2018-12-14T00:00:00"/>
    <d v="2018-12-22T00:00:00"/>
    <m/>
    <n v="34817.599999999999"/>
    <x v="377"/>
    <x v="0"/>
  </r>
  <r>
    <x v="8"/>
    <s v="Emitida"/>
    <d v="2018-12-13T00:00:00"/>
    <d v="2018-12-13T00:00:00"/>
    <d v="2019-01-27T00:00:00"/>
    <m/>
    <n v="29067"/>
    <x v="378"/>
    <x v="0"/>
  </r>
  <r>
    <x v="9"/>
    <s v="Emitida"/>
    <d v="2018-12-13T00:00:00"/>
    <d v="2018-12-13T00:00:00"/>
    <d v="2018-12-20T00:00:00"/>
    <m/>
    <n v="10240"/>
    <x v="379"/>
    <x v="0"/>
  </r>
  <r>
    <x v="9"/>
    <s v="Emitida"/>
    <d v="2018-12-13T00:00:00"/>
    <d v="2018-12-13T00:00:00"/>
    <d v="2018-12-20T00:00:00"/>
    <m/>
    <n v="12518"/>
    <x v="380"/>
    <x v="0"/>
  </r>
  <r>
    <x v="23"/>
    <s v="Emitida"/>
    <d v="2018-12-13T00:00:00"/>
    <d v="2018-12-13T00:00:00"/>
    <d v="2019-02-11T00:00:00"/>
    <m/>
    <n v="456090"/>
    <x v="381"/>
    <x v="0"/>
  </r>
  <r>
    <x v="26"/>
    <s v="Emitida"/>
    <d v="2018-12-13T00:00:00"/>
    <d v="2018-12-13T00:00:00"/>
    <d v="2018-12-21T00:00:00"/>
    <m/>
    <n v="7818.24"/>
    <x v="382"/>
    <x v="0"/>
  </r>
  <r>
    <x v="8"/>
    <s v="Emitida"/>
    <d v="2018-12-11T00:00:00"/>
    <d v="2018-12-11T00:00:00"/>
    <d v="2019-01-25T00:00:00"/>
    <m/>
    <n v="3660"/>
    <x v="383"/>
    <x v="0"/>
  </r>
  <r>
    <x v="6"/>
    <s v="Emitida"/>
    <d v="2018-12-11T00:00:00"/>
    <d v="2018-12-11T00:00:00"/>
    <d v="2019-01-10T00:00:00"/>
    <m/>
    <n v="17424"/>
    <x v="384"/>
    <x v="0"/>
  </r>
  <r>
    <x v="26"/>
    <s v="Emitida"/>
    <d v="2018-12-07T00:00:00"/>
    <d v="2018-12-07T00:00:00"/>
    <d v="2018-12-15T00:00:00"/>
    <m/>
    <n v="3805.45"/>
    <x v="385"/>
    <x v="0"/>
  </r>
  <r>
    <x v="7"/>
    <s v="Emitida"/>
    <d v="2018-12-06T00:00:00"/>
    <d v="2018-12-06T00:00:00"/>
    <d v="2018-12-21T00:00:00"/>
    <m/>
    <n v="800"/>
    <x v="33"/>
    <x v="0"/>
  </r>
  <r>
    <x v="26"/>
    <s v="Emitida"/>
    <d v="2018-12-06T00:00:00"/>
    <d v="2018-12-06T00:00:00"/>
    <d v="2018-12-14T00:00:00"/>
    <m/>
    <n v="23094.2"/>
    <x v="386"/>
    <x v="0"/>
  </r>
  <r>
    <x v="26"/>
    <s v="Emitida"/>
    <d v="2018-12-05T00:00:00"/>
    <d v="2018-12-05T00:00:00"/>
    <d v="2018-12-13T00:00:00"/>
    <m/>
    <n v="35463.1"/>
    <x v="387"/>
    <x v="0"/>
  </r>
  <r>
    <x v="26"/>
    <s v="Emitida"/>
    <d v="2018-12-05T00:00:00"/>
    <d v="2018-12-05T00:00:00"/>
    <d v="2018-12-13T00:00:00"/>
    <m/>
    <n v="15759.1"/>
    <x v="388"/>
    <x v="0"/>
  </r>
  <r>
    <x v="6"/>
    <s v="Emitida"/>
    <d v="2018-12-04T00:00:00"/>
    <d v="2018-12-04T00:00:00"/>
    <d v="2019-01-03T00:00:00"/>
    <m/>
    <n v="644"/>
    <x v="389"/>
    <x v="0"/>
  </r>
  <r>
    <x v="7"/>
    <s v="Emitida"/>
    <d v="2018-12-04T00:00:00"/>
    <d v="2018-12-04T00:00:00"/>
    <d v="2018-12-19T00:00:00"/>
    <m/>
    <n v="1636"/>
    <x v="116"/>
    <x v="0"/>
  </r>
  <r>
    <x v="6"/>
    <s v="Emitida"/>
    <d v="2018-12-04T00:00:00"/>
    <d v="2018-12-04T00:00:00"/>
    <d v="2019-01-03T00:00:00"/>
    <m/>
    <n v="8100"/>
    <x v="390"/>
    <x v="0"/>
  </r>
  <r>
    <x v="6"/>
    <s v="Emitida"/>
    <d v="2018-12-03T00:00:00"/>
    <d v="2018-12-03T00:00:00"/>
    <d v="2019-01-02T00:00:00"/>
    <m/>
    <n v="29876"/>
    <x v="391"/>
    <x v="0"/>
  </r>
  <r>
    <x v="6"/>
    <s v="Emitida"/>
    <d v="2018-12-03T00:00:00"/>
    <d v="2018-12-03T00:00:00"/>
    <d v="2019-01-02T00:00:00"/>
    <m/>
    <n v="16532"/>
    <x v="284"/>
    <x v="0"/>
  </r>
  <r>
    <x v="8"/>
    <s v="Emitida"/>
    <d v="2018-12-03T00:00:00"/>
    <d v="2018-12-03T00:00:00"/>
    <d v="2019-01-17T00:00:00"/>
    <m/>
    <n v="21540"/>
    <x v="392"/>
    <x v="0"/>
  </r>
  <r>
    <x v="26"/>
    <s v="Emitida"/>
    <d v="2018-11-30T00:00:00"/>
    <d v="2018-11-30T00:00:00"/>
    <d v="2018-12-08T00:00:00"/>
    <m/>
    <n v="27451.4"/>
    <x v="393"/>
    <x v="0"/>
  </r>
  <r>
    <x v="7"/>
    <s v="Emitida"/>
    <d v="2018-11-30T00:00:00"/>
    <d v="2018-11-30T00:00:00"/>
    <d v="2018-12-15T00:00:00"/>
    <m/>
    <n v="7512"/>
    <x v="394"/>
    <x v="0"/>
  </r>
  <r>
    <x v="26"/>
    <s v="Emitida"/>
    <d v="2018-11-29T00:00:00"/>
    <d v="2018-11-29T00:00:00"/>
    <d v="2018-12-07T00:00:00"/>
    <m/>
    <n v="5830.52"/>
    <x v="395"/>
    <x v="0"/>
  </r>
  <r>
    <x v="13"/>
    <s v="Emitida"/>
    <d v="2018-11-29T00:00:00"/>
    <d v="2018-11-29T00:00:00"/>
    <d v="2018-12-29T00:00:00"/>
    <m/>
    <n v="15990"/>
    <x v="396"/>
    <x v="0"/>
  </r>
  <r>
    <x v="6"/>
    <s v="Emitida"/>
    <d v="2018-11-27T00:00:00"/>
    <d v="2018-11-27T00:00:00"/>
    <d v="2018-12-27T00:00:00"/>
    <m/>
    <n v="13630"/>
    <x v="397"/>
    <x v="0"/>
  </r>
  <r>
    <x v="7"/>
    <s v="Emitida"/>
    <d v="2018-11-27T00:00:00"/>
    <d v="2018-11-27T00:00:00"/>
    <d v="2018-12-12T00:00:00"/>
    <m/>
    <n v="29480"/>
    <x v="102"/>
    <x v="0"/>
  </r>
  <r>
    <x v="7"/>
    <s v="Emitida"/>
    <d v="2018-11-27T00:00:00"/>
    <d v="2018-11-27T00:00:00"/>
    <d v="2018-12-12T00:00:00"/>
    <m/>
    <n v="29480"/>
    <x v="102"/>
    <x v="0"/>
  </r>
  <r>
    <x v="7"/>
    <s v="Emitida"/>
    <d v="2018-11-27T00:00:00"/>
    <d v="2018-11-27T00:00:00"/>
    <d v="2018-12-12T00:00:00"/>
    <m/>
    <n v="34848"/>
    <x v="32"/>
    <x v="0"/>
  </r>
  <r>
    <x v="26"/>
    <s v="Emitida"/>
    <d v="2018-11-27T00:00:00"/>
    <d v="2018-11-27T00:00:00"/>
    <d v="2018-12-05T00:00:00"/>
    <m/>
    <n v="5505.3"/>
    <x v="398"/>
    <x v="0"/>
  </r>
  <r>
    <x v="8"/>
    <s v="Emitida"/>
    <d v="2018-11-26T00:00:00"/>
    <d v="2018-11-26T00:00:00"/>
    <d v="2019-01-10T00:00:00"/>
    <m/>
    <n v="15060"/>
    <x v="399"/>
    <x v="0"/>
  </r>
  <r>
    <x v="6"/>
    <s v="Emitida"/>
    <d v="2018-11-26T00:00:00"/>
    <d v="2018-11-26T00:00:00"/>
    <d v="2018-12-26T00:00:00"/>
    <m/>
    <n v="5600"/>
    <x v="400"/>
    <x v="0"/>
  </r>
  <r>
    <x v="6"/>
    <s v="Emitida"/>
    <d v="2018-11-23T00:00:00"/>
    <d v="2018-11-23T00:00:00"/>
    <d v="2018-12-23T00:00:00"/>
    <m/>
    <n v="7092"/>
    <x v="401"/>
    <x v="0"/>
  </r>
  <r>
    <x v="6"/>
    <s v="Emitida"/>
    <d v="2018-11-21T00:00:00"/>
    <d v="2018-11-21T00:00:00"/>
    <d v="2018-12-21T00:00:00"/>
    <m/>
    <n v="7518"/>
    <x v="402"/>
    <x v="0"/>
  </r>
  <r>
    <x v="6"/>
    <s v="Emitida"/>
    <d v="2018-11-20T00:00:00"/>
    <d v="2018-11-20T00:00:00"/>
    <d v="2018-12-20T00:00:00"/>
    <m/>
    <n v="8266"/>
    <x v="229"/>
    <x v="0"/>
  </r>
  <r>
    <x v="10"/>
    <s v="Emitida"/>
    <d v="2018-11-15T00:00:00"/>
    <d v="2018-11-15T00:00:00"/>
    <d v="2018-12-15T00:00:00"/>
    <m/>
    <n v="125377"/>
    <x v="403"/>
    <x v="0"/>
  </r>
  <r>
    <x v="10"/>
    <s v="Emitida"/>
    <d v="2018-11-15T00:00:00"/>
    <d v="2018-11-15T00:00:00"/>
    <d v="2018-12-15T00:00:00"/>
    <m/>
    <n v="3705"/>
    <x v="404"/>
    <x v="0"/>
  </r>
  <r>
    <x v="26"/>
    <s v="Emitida"/>
    <d v="2018-11-14T00:00:00"/>
    <d v="2018-11-14T00:00:00"/>
    <d v="2018-11-22T00:00:00"/>
    <m/>
    <n v="4185.92"/>
    <x v="405"/>
    <x v="0"/>
  </r>
  <r>
    <x v="26"/>
    <s v="Emitida"/>
    <d v="2018-11-14T00:00:00"/>
    <d v="2018-11-14T00:00:00"/>
    <d v="2018-11-22T00:00:00"/>
    <m/>
    <n v="10403.799999999999"/>
    <x v="406"/>
    <x v="0"/>
  </r>
  <r>
    <x v="26"/>
    <s v="Emitida"/>
    <d v="2018-11-14T00:00:00"/>
    <d v="2018-11-14T00:00:00"/>
    <d v="2018-11-22T00:00:00"/>
    <m/>
    <n v="21396.9"/>
    <x v="407"/>
    <x v="0"/>
  </r>
  <r>
    <x v="26"/>
    <s v="Emitida"/>
    <d v="2018-11-14T00:00:00"/>
    <d v="2018-11-14T00:00:00"/>
    <d v="2018-11-22T00:00:00"/>
    <m/>
    <n v="17312.599999999999"/>
    <x v="408"/>
    <x v="0"/>
  </r>
  <r>
    <x v="26"/>
    <s v="Emitida"/>
    <d v="2018-11-14T00:00:00"/>
    <d v="2018-11-14T00:00:00"/>
    <d v="2018-11-22T00:00:00"/>
    <m/>
    <n v="29260.799999999999"/>
    <x v="409"/>
    <x v="0"/>
  </r>
  <r>
    <x v="26"/>
    <s v="Emitida"/>
    <d v="2018-11-14T00:00:00"/>
    <d v="2018-11-14T00:00:00"/>
    <d v="2018-11-22T00:00:00"/>
    <m/>
    <n v="3718.56"/>
    <x v="410"/>
    <x v="0"/>
  </r>
  <r>
    <x v="26"/>
    <s v="Emitida"/>
    <d v="2018-11-14T00:00:00"/>
    <d v="2018-11-14T00:00:00"/>
    <d v="2018-11-22T00:00:00"/>
    <m/>
    <n v="6827.52"/>
    <x v="411"/>
    <x v="0"/>
  </r>
  <r>
    <x v="26"/>
    <s v="Emitida"/>
    <d v="2018-11-14T00:00:00"/>
    <d v="2018-11-14T00:00:00"/>
    <d v="2018-11-22T00:00:00"/>
    <m/>
    <n v="2783.84"/>
    <x v="412"/>
    <x v="0"/>
  </r>
  <r>
    <x v="26"/>
    <s v="Emitida"/>
    <d v="2018-11-14T00:00:00"/>
    <d v="2018-11-14T00:00:00"/>
    <d v="2018-11-22T00:00:00"/>
    <m/>
    <n v="5445.76"/>
    <x v="413"/>
    <x v="0"/>
  </r>
  <r>
    <x v="26"/>
    <s v="Emitida"/>
    <d v="2018-11-14T00:00:00"/>
    <d v="2018-11-14T00:00:00"/>
    <d v="2018-11-22T00:00:00"/>
    <m/>
    <n v="1463.04"/>
    <x v="414"/>
    <x v="0"/>
  </r>
  <r>
    <x v="26"/>
    <s v="Emitida"/>
    <d v="2018-11-13T00:00:00"/>
    <d v="2018-11-13T00:00:00"/>
    <d v="2018-11-21T00:00:00"/>
    <m/>
    <n v="4642.08"/>
    <x v="415"/>
    <x v="0"/>
  </r>
  <r>
    <x v="6"/>
    <s v="Emitida"/>
    <d v="2018-11-06T00:00:00"/>
    <d v="2018-11-06T00:00:00"/>
    <d v="2018-12-06T00:00:00"/>
    <m/>
    <n v="2576"/>
    <x v="416"/>
    <x v="0"/>
  </r>
  <r>
    <x v="26"/>
    <s v="Emitida"/>
    <d v="2018-11-01T00:00:00"/>
    <d v="2018-11-01T00:00:00"/>
    <d v="2018-11-09T00:00:00"/>
    <m/>
    <n v="38738"/>
    <x v="417"/>
    <x v="0"/>
  </r>
  <r>
    <x v="9"/>
    <s v="Emitida"/>
    <d v="2018-10-31T00:00:00"/>
    <d v="2018-10-31T00:00:00"/>
    <d v="2018-11-07T00:00:00"/>
    <m/>
    <n v="440"/>
    <x v="418"/>
    <x v="0"/>
  </r>
  <r>
    <x v="26"/>
    <s v="Emitida"/>
    <d v="2018-10-31T00:00:00"/>
    <d v="2018-10-31T00:00:00"/>
    <d v="2018-11-08T00:00:00"/>
    <m/>
    <n v="13899.6"/>
    <x v="419"/>
    <x v="0"/>
  </r>
  <r>
    <x v="26"/>
    <s v="Emitida"/>
    <d v="2018-10-31T00:00:00"/>
    <d v="2018-10-31T00:00:00"/>
    <d v="2018-11-08T00:00:00"/>
    <m/>
    <n v="28512"/>
    <x v="420"/>
    <x v="0"/>
  </r>
  <r>
    <x v="7"/>
    <s v="Emitida"/>
    <d v="2018-10-26T00:00:00"/>
    <d v="2018-10-26T00:00:00"/>
    <d v="2018-11-10T00:00:00"/>
    <m/>
    <n v="45516"/>
    <x v="421"/>
    <x v="0"/>
  </r>
  <r>
    <x v="6"/>
    <s v="Emitida"/>
    <d v="2018-10-25T00:00:00"/>
    <d v="2018-10-25T00:00:00"/>
    <d v="2018-11-24T00:00:00"/>
    <m/>
    <n v="45496"/>
    <x v="422"/>
    <x v="0"/>
  </r>
  <r>
    <x v="6"/>
    <s v="Emitida"/>
    <d v="2018-10-25T00:00:00"/>
    <d v="2018-10-25T00:00:00"/>
    <d v="2018-11-24T00:00:00"/>
    <m/>
    <n v="22284"/>
    <x v="423"/>
    <x v="0"/>
  </r>
  <r>
    <x v="9"/>
    <s v="Emitida"/>
    <d v="2018-10-25T00:00:00"/>
    <d v="2018-10-25T00:00:00"/>
    <d v="2018-11-01T00:00:00"/>
    <m/>
    <n v="1250"/>
    <x v="424"/>
    <x v="0"/>
  </r>
  <r>
    <x v="9"/>
    <s v="Emitida"/>
    <d v="2018-10-25T00:00:00"/>
    <d v="2018-10-25T00:00:00"/>
    <d v="2018-11-01T00:00:00"/>
    <m/>
    <n v="11640"/>
    <x v="425"/>
    <x v="0"/>
  </r>
  <r>
    <x v="26"/>
    <s v="Emitida"/>
    <d v="2018-10-25T00:00:00"/>
    <d v="2018-10-25T00:00:00"/>
    <d v="2018-11-02T00:00:00"/>
    <m/>
    <n v="71116"/>
    <x v="426"/>
    <x v="0"/>
  </r>
  <r>
    <x v="8"/>
    <s v="Emitida"/>
    <d v="2018-10-24T00:00:00"/>
    <d v="2018-10-24T00:00:00"/>
    <d v="2018-12-08T00:00:00"/>
    <m/>
    <n v="47502"/>
    <x v="427"/>
    <x v="0"/>
  </r>
  <r>
    <x v="7"/>
    <s v="Emitida"/>
    <d v="2018-10-23T00:00:00"/>
    <d v="2018-10-23T00:00:00"/>
    <d v="2018-11-07T00:00:00"/>
    <m/>
    <n v="2800"/>
    <x v="428"/>
    <x v="0"/>
  </r>
  <r>
    <x v="6"/>
    <s v="Emitida"/>
    <d v="2018-10-22T00:00:00"/>
    <d v="2018-10-22T00:00:00"/>
    <d v="2018-11-21T00:00:00"/>
    <m/>
    <n v="5686"/>
    <x v="429"/>
    <x v="0"/>
  </r>
  <r>
    <x v="6"/>
    <s v="Emitida"/>
    <d v="2018-10-22T00:00:00"/>
    <d v="2018-10-22T00:00:00"/>
    <d v="2018-11-21T00:00:00"/>
    <m/>
    <n v="3672"/>
    <x v="430"/>
    <x v="0"/>
  </r>
  <r>
    <x v="7"/>
    <s v="Emitida"/>
    <d v="2018-10-18T00:00:00"/>
    <d v="2018-10-18T00:00:00"/>
    <d v="2018-11-02T00:00:00"/>
    <m/>
    <n v="4528"/>
    <x v="431"/>
    <x v="0"/>
  </r>
  <r>
    <x v="26"/>
    <s v="Emitida"/>
    <d v="2018-10-18T00:00:00"/>
    <d v="2018-10-18T00:00:00"/>
    <d v="2018-10-26T00:00:00"/>
    <m/>
    <n v="14865.8"/>
    <x v="432"/>
    <x v="0"/>
  </r>
  <r>
    <x v="26"/>
    <s v="Emitida"/>
    <d v="2018-10-17T00:00:00"/>
    <d v="2018-10-17T00:00:00"/>
    <d v="2018-10-25T00:00:00"/>
    <m/>
    <n v="76669.5"/>
    <x v="433"/>
    <x v="0"/>
  </r>
  <r>
    <x v="6"/>
    <s v="Emitida"/>
    <d v="2018-10-16T00:00:00"/>
    <d v="2018-10-16T00:00:00"/>
    <d v="2018-11-15T00:00:00"/>
    <m/>
    <n v="1386"/>
    <x v="434"/>
    <x v="0"/>
  </r>
  <r>
    <x v="0"/>
    <s v="Emitida"/>
    <d v="2018-10-16T00:00:00"/>
    <d v="2018-10-16T00:00:00"/>
    <d v="2018-10-23T00:00:00"/>
    <m/>
    <n v="4360"/>
    <x v="435"/>
    <x v="0"/>
  </r>
  <r>
    <x v="28"/>
    <s v="Emitida"/>
    <d v="2018-10-16T00:00:00"/>
    <d v="2018-10-16T00:00:00"/>
    <d v="2018-10-18T00:00:00"/>
    <m/>
    <n v="910"/>
    <x v="436"/>
    <x v="0"/>
  </r>
  <r>
    <x v="6"/>
    <s v="Emitida"/>
    <d v="2018-10-16T00:00:00"/>
    <d v="2018-10-16T00:00:00"/>
    <d v="2018-11-15T00:00:00"/>
    <m/>
    <n v="16700"/>
    <x v="437"/>
    <x v="0"/>
  </r>
  <r>
    <x v="9"/>
    <s v="Emitida"/>
    <d v="2018-10-16T00:00:00"/>
    <d v="2018-10-16T00:00:00"/>
    <d v="2018-10-23T00:00:00"/>
    <m/>
    <n v="6384"/>
    <x v="438"/>
    <x v="0"/>
  </r>
  <r>
    <x v="26"/>
    <s v="Emitida"/>
    <d v="2018-10-12T00:00:00"/>
    <d v="2018-10-12T00:00:00"/>
    <d v="2018-10-20T00:00:00"/>
    <m/>
    <n v="36901.599999999999"/>
    <x v="439"/>
    <x v="0"/>
  </r>
  <r>
    <x v="29"/>
    <s v="Emitida"/>
    <d v="2018-10-12T00:00:00"/>
    <d v="2018-10-12T00:00:00"/>
    <d v="2018-10-19T00:00:00"/>
    <m/>
    <n v="1204.56"/>
    <x v="440"/>
    <x v="0"/>
  </r>
  <r>
    <x v="13"/>
    <s v="Emitida"/>
    <d v="2018-10-11T00:00:00"/>
    <d v="2018-10-11T00:00:00"/>
    <d v="2018-11-10T00:00:00"/>
    <m/>
    <n v="13472"/>
    <x v="441"/>
    <x v="0"/>
  </r>
  <r>
    <x v="5"/>
    <s v="Emitida"/>
    <d v="2018-10-09T00:00:00"/>
    <d v="2018-10-09T00:00:00"/>
    <d v="2018-11-23T00:00:00"/>
    <m/>
    <n v="25202"/>
    <x v="442"/>
    <x v="0"/>
  </r>
  <r>
    <x v="9"/>
    <s v="Emitida"/>
    <d v="2018-10-08T00:00:00"/>
    <d v="2018-10-08T00:00:00"/>
    <d v="2018-10-15T00:00:00"/>
    <m/>
    <n v="4892"/>
    <x v="443"/>
    <x v="0"/>
  </r>
  <r>
    <x v="8"/>
    <s v="Emitida"/>
    <d v="2018-10-08T00:00:00"/>
    <d v="2018-10-08T00:00:00"/>
    <d v="2018-11-22T00:00:00"/>
    <m/>
    <n v="28339"/>
    <x v="444"/>
    <x v="0"/>
  </r>
  <r>
    <x v="9"/>
    <s v="Emitida"/>
    <d v="2018-10-08T00:00:00"/>
    <d v="2018-10-08T00:00:00"/>
    <d v="2018-10-15T00:00:00"/>
    <m/>
    <n v="10218"/>
    <x v="445"/>
    <x v="0"/>
  </r>
  <r>
    <x v="9"/>
    <s v="Emitida"/>
    <d v="2018-10-05T00:00:00"/>
    <d v="2018-10-05T00:00:00"/>
    <d v="2018-10-12T00:00:00"/>
    <m/>
    <n v="2610"/>
    <x v="446"/>
    <x v="0"/>
  </r>
  <r>
    <x v="5"/>
    <s v="Emitida"/>
    <d v="2018-10-05T00:00:00"/>
    <d v="2018-10-05T00:00:00"/>
    <d v="2018-11-19T00:00:00"/>
    <m/>
    <n v="25202"/>
    <x v="442"/>
    <x v="0"/>
  </r>
  <r>
    <x v="5"/>
    <s v="Emitida"/>
    <d v="2018-10-05T00:00:00"/>
    <d v="2018-10-05T00:00:00"/>
    <d v="2018-11-19T00:00:00"/>
    <m/>
    <n v="25202"/>
    <x v="442"/>
    <x v="0"/>
  </r>
  <r>
    <x v="30"/>
    <s v="Emitida"/>
    <d v="2018-10-03T00:00:00"/>
    <d v="2018-10-03T00:00:00"/>
    <d v="2018-10-03T00:00:00"/>
    <m/>
    <n v="44626"/>
    <x v="447"/>
    <x v="0"/>
  </r>
  <r>
    <x v="5"/>
    <s v="Emitida"/>
    <d v="2018-10-02T00:00:00"/>
    <d v="2018-10-02T00:00:00"/>
    <d v="2018-11-16T00:00:00"/>
    <m/>
    <n v="25202"/>
    <x v="442"/>
    <x v="0"/>
  </r>
  <r>
    <x v="1"/>
    <s v="Emitida"/>
    <d v="2018-09-28T00:00:00"/>
    <d v="2018-09-28T00:00:00"/>
    <d v="2018-10-28T00:00:00"/>
    <m/>
    <n v="102078"/>
    <x v="448"/>
    <x v="0"/>
  </r>
  <r>
    <x v="5"/>
    <s v="Emitida"/>
    <d v="2018-09-28T00:00:00"/>
    <d v="2018-09-28T00:00:00"/>
    <d v="2018-11-12T00:00:00"/>
    <m/>
    <n v="25202"/>
    <x v="442"/>
    <x v="0"/>
  </r>
  <r>
    <x v="31"/>
    <s v="Emitida"/>
    <d v="2018-09-27T00:00:00"/>
    <d v="2018-09-27T00:00:00"/>
    <d v="2018-10-04T00:00:00"/>
    <m/>
    <n v="1329.3"/>
    <x v="449"/>
    <x v="0"/>
  </r>
  <r>
    <x v="26"/>
    <s v="Emitida"/>
    <d v="2018-09-27T00:00:00"/>
    <d v="2018-09-27T00:00:00"/>
    <d v="2018-10-05T00:00:00"/>
    <m/>
    <n v="21173.8"/>
    <x v="450"/>
    <x v="0"/>
  </r>
  <r>
    <x v="26"/>
    <s v="Emitida"/>
    <d v="2018-09-27T00:00:00"/>
    <d v="2018-09-27T00:00:00"/>
    <d v="2018-10-05T00:00:00"/>
    <m/>
    <n v="4044.87"/>
    <x v="451"/>
    <x v="0"/>
  </r>
  <r>
    <x v="26"/>
    <s v="Emitida"/>
    <d v="2018-09-27T00:00:00"/>
    <d v="2018-09-27T00:00:00"/>
    <d v="2018-10-05T00:00:00"/>
    <m/>
    <n v="7520.04"/>
    <x v="452"/>
    <x v="0"/>
  </r>
  <r>
    <x v="6"/>
    <s v="Emitida"/>
    <d v="2018-09-26T00:00:00"/>
    <d v="2018-09-26T00:00:00"/>
    <d v="2018-10-26T00:00:00"/>
    <m/>
    <n v="14124"/>
    <x v="78"/>
    <x v="0"/>
  </r>
  <r>
    <x v="7"/>
    <s v="Emitida"/>
    <d v="2018-09-26T00:00:00"/>
    <d v="2018-09-26T00:00:00"/>
    <d v="2018-10-11T00:00:00"/>
    <m/>
    <n v="6792"/>
    <x v="453"/>
    <x v="0"/>
  </r>
  <r>
    <x v="6"/>
    <s v="Emitida"/>
    <d v="2018-09-26T00:00:00"/>
    <d v="2018-09-26T00:00:00"/>
    <d v="2018-10-26T00:00:00"/>
    <m/>
    <n v="4050"/>
    <x v="454"/>
    <x v="0"/>
  </r>
  <r>
    <x v="6"/>
    <s v="Emitida"/>
    <d v="2018-09-25T00:00:00"/>
    <d v="2018-09-25T00:00:00"/>
    <d v="2018-10-25T00:00:00"/>
    <m/>
    <n v="26528"/>
    <x v="455"/>
    <x v="0"/>
  </r>
  <r>
    <x v="7"/>
    <s v="Emitida"/>
    <d v="2018-09-25T00:00:00"/>
    <d v="2018-09-25T00:00:00"/>
    <d v="2018-10-10T00:00:00"/>
    <m/>
    <n v="29480"/>
    <x v="102"/>
    <x v="0"/>
  </r>
  <r>
    <x v="7"/>
    <s v="Emitida"/>
    <d v="2018-09-25T00:00:00"/>
    <d v="2018-09-25T00:00:00"/>
    <d v="2018-10-10T00:00:00"/>
    <m/>
    <n v="29480"/>
    <x v="102"/>
    <x v="0"/>
  </r>
  <r>
    <x v="12"/>
    <s v="Emitida"/>
    <d v="2018-09-21T00:00:00"/>
    <d v="2018-09-21T00:00:00"/>
    <d v="2018-09-21T00:00:00"/>
    <m/>
    <n v="4160"/>
    <x v="456"/>
    <x v="0"/>
  </r>
  <r>
    <x v="0"/>
    <s v="Emitida"/>
    <d v="2018-09-21T00:00:00"/>
    <d v="2018-09-21T00:00:00"/>
    <d v="2018-09-28T00:00:00"/>
    <m/>
    <n v="26346"/>
    <x v="457"/>
    <x v="0"/>
  </r>
  <r>
    <x v="26"/>
    <s v="Emitida"/>
    <d v="2018-09-20T00:00:00"/>
    <d v="2018-09-20T00:00:00"/>
    <d v="2018-09-28T00:00:00"/>
    <m/>
    <n v="13739.6"/>
    <x v="458"/>
    <x v="0"/>
  </r>
  <r>
    <x v="26"/>
    <s v="Emitida"/>
    <d v="2018-09-20T00:00:00"/>
    <d v="2018-09-20T00:00:00"/>
    <d v="2018-09-28T00:00:00"/>
    <m/>
    <n v="24100.6"/>
    <x v="459"/>
    <x v="0"/>
  </r>
  <r>
    <x v="26"/>
    <s v="Emitida"/>
    <d v="2018-09-19T00:00:00"/>
    <d v="2018-09-19T00:00:00"/>
    <d v="2018-09-27T00:00:00"/>
    <m/>
    <n v="13414"/>
    <x v="460"/>
    <x v="0"/>
  </r>
  <r>
    <x v="6"/>
    <s v="Emitida"/>
    <d v="2018-09-18T00:00:00"/>
    <d v="2018-09-18T00:00:00"/>
    <d v="2018-10-18T00:00:00"/>
    <m/>
    <n v="8266"/>
    <x v="229"/>
    <x v="0"/>
  </r>
  <r>
    <x v="26"/>
    <s v="Emitida"/>
    <d v="2018-09-18T00:00:00"/>
    <d v="2018-09-18T00:00:00"/>
    <d v="2018-09-26T00:00:00"/>
    <m/>
    <n v="10001.1"/>
    <x v="461"/>
    <x v="0"/>
  </r>
  <r>
    <x v="26"/>
    <s v="Emitida"/>
    <d v="2018-09-18T00:00:00"/>
    <d v="2018-09-18T00:00:00"/>
    <d v="2018-09-26T00:00:00"/>
    <m/>
    <n v="82197.7"/>
    <x v="462"/>
    <x v="0"/>
  </r>
  <r>
    <x v="8"/>
    <s v="Emitida"/>
    <d v="2018-09-18T00:00:00"/>
    <d v="2018-09-18T00:00:00"/>
    <d v="2018-11-02T00:00:00"/>
    <m/>
    <n v="35527"/>
    <x v="463"/>
    <x v="0"/>
  </r>
  <r>
    <x v="26"/>
    <s v="Emitida"/>
    <d v="2018-09-14T00:00:00"/>
    <d v="2018-09-14T00:00:00"/>
    <d v="2018-09-22T00:00:00"/>
    <m/>
    <n v="17430.7"/>
    <x v="464"/>
    <x v="0"/>
  </r>
  <r>
    <x v="26"/>
    <s v="Emitida"/>
    <d v="2018-09-14T00:00:00"/>
    <d v="2018-09-14T00:00:00"/>
    <d v="2018-09-22T00:00:00"/>
    <m/>
    <n v="3771.9"/>
    <x v="465"/>
    <x v="0"/>
  </r>
  <r>
    <x v="22"/>
    <s v="Emitida"/>
    <d v="2018-09-13T00:00:00"/>
    <d v="2018-09-13T00:00:00"/>
    <d v="2018-09-28T00:00:00"/>
    <m/>
    <n v="2800"/>
    <x v="428"/>
    <x v="0"/>
  </r>
  <r>
    <x v="0"/>
    <s v="Emitida"/>
    <d v="2018-09-12T00:00:00"/>
    <d v="2018-09-12T00:00:00"/>
    <d v="2018-09-19T00:00:00"/>
    <m/>
    <n v="25230"/>
    <x v="466"/>
    <x v="0"/>
  </r>
  <r>
    <x v="26"/>
    <s v="Emitida"/>
    <d v="2018-09-11T00:00:00"/>
    <d v="2018-09-11T00:00:00"/>
    <d v="2018-09-19T00:00:00"/>
    <m/>
    <n v="3347.76"/>
    <x v="467"/>
    <x v="0"/>
  </r>
  <r>
    <x v="26"/>
    <s v="Emitida"/>
    <d v="2018-09-11T00:00:00"/>
    <d v="2018-09-11T00:00:00"/>
    <d v="2018-09-19T00:00:00"/>
    <m/>
    <n v="2193.36"/>
    <x v="468"/>
    <x v="0"/>
  </r>
  <r>
    <x v="24"/>
    <s v="Emitida"/>
    <d v="2018-09-10T00:00:00"/>
    <d v="2018-09-10T00:00:00"/>
    <d v="2018-09-18T00:00:00"/>
    <m/>
    <n v="13078.7"/>
    <x v="469"/>
    <x v="0"/>
  </r>
  <r>
    <x v="13"/>
    <s v="Emitida"/>
    <d v="2018-09-07T00:00:00"/>
    <d v="2018-09-07T00:00:00"/>
    <d v="2018-10-07T00:00:00"/>
    <m/>
    <n v="12904"/>
    <x v="470"/>
    <x v="0"/>
  </r>
  <r>
    <x v="6"/>
    <s v="Emitida"/>
    <d v="2018-09-06T00:00:00"/>
    <d v="2018-09-06T00:00:00"/>
    <d v="2018-10-06T00:00:00"/>
    <m/>
    <n v="11528"/>
    <x v="471"/>
    <x v="0"/>
  </r>
  <r>
    <x v="26"/>
    <s v="Emitida"/>
    <d v="2018-09-05T00:00:00"/>
    <d v="2018-09-05T00:00:00"/>
    <d v="2018-09-13T00:00:00"/>
    <m/>
    <n v="13869.6"/>
    <x v="472"/>
    <x v="0"/>
  </r>
  <r>
    <x v="9"/>
    <s v="Emitida"/>
    <d v="2018-09-03T00:00:00"/>
    <d v="2018-09-03T00:00:00"/>
    <d v="2018-09-10T00:00:00"/>
    <m/>
    <n v="42203"/>
    <x v="473"/>
    <x v="0"/>
  </r>
  <r>
    <x v="0"/>
    <s v="Emitida"/>
    <d v="2018-09-03T00:00:00"/>
    <d v="2018-08-30T00:00:00"/>
    <d v="2018-09-10T00:00:00"/>
    <m/>
    <n v="7636"/>
    <x v="474"/>
    <x v="0"/>
  </r>
  <r>
    <x v="26"/>
    <s v="Emitida"/>
    <d v="2018-09-03T00:00:00"/>
    <d v="2018-09-03T00:00:00"/>
    <d v="2018-09-11T00:00:00"/>
    <m/>
    <n v="9354.57"/>
    <x v="475"/>
    <x v="0"/>
  </r>
  <r>
    <x v="9"/>
    <s v="Emitida"/>
    <d v="2018-09-03T00:00:00"/>
    <d v="2018-09-03T00:00:00"/>
    <d v="2018-09-10T00:00:00"/>
    <m/>
    <n v="14846"/>
    <x v="476"/>
    <x v="0"/>
  </r>
  <r>
    <x v="9"/>
    <s v="Emitida"/>
    <d v="2018-08-31T00:00:00"/>
    <d v="2018-08-31T00:00:00"/>
    <d v="2018-09-07T00:00:00"/>
    <m/>
    <n v="131040"/>
    <x v="477"/>
    <x v="0"/>
  </r>
  <r>
    <x v="9"/>
    <s v="Emitida"/>
    <d v="2018-08-31T00:00:00"/>
    <d v="2018-08-31T00:00:00"/>
    <d v="2018-09-07T00:00:00"/>
    <m/>
    <n v="131040"/>
    <x v="477"/>
    <x v="0"/>
  </r>
  <r>
    <x v="9"/>
    <s v="Emitida"/>
    <d v="2018-08-31T00:00:00"/>
    <d v="2018-08-31T00:00:00"/>
    <d v="2018-09-07T00:00:00"/>
    <m/>
    <n v="131040"/>
    <x v="477"/>
    <x v="0"/>
  </r>
  <r>
    <x v="9"/>
    <s v="Emitida"/>
    <d v="2018-08-31T00:00:00"/>
    <d v="2018-08-31T00:00:00"/>
    <d v="2018-09-07T00:00:00"/>
    <m/>
    <n v="131040"/>
    <x v="477"/>
    <x v="0"/>
  </r>
  <r>
    <x v="9"/>
    <s v="Emitida"/>
    <d v="2018-08-31T00:00:00"/>
    <d v="2018-08-31T00:00:00"/>
    <d v="2018-09-07T00:00:00"/>
    <m/>
    <n v="122940"/>
    <x v="478"/>
    <x v="0"/>
  </r>
  <r>
    <x v="9"/>
    <s v="Emitida"/>
    <d v="2018-08-31T00:00:00"/>
    <d v="2018-08-31T00:00:00"/>
    <d v="2018-09-07T00:00:00"/>
    <m/>
    <n v="122940"/>
    <x v="478"/>
    <x v="0"/>
  </r>
  <r>
    <x v="9"/>
    <s v="Emitida"/>
    <d v="2018-08-31T00:00:00"/>
    <d v="2018-08-31T00:00:00"/>
    <d v="2018-09-07T00:00:00"/>
    <m/>
    <n v="122940"/>
    <x v="478"/>
    <x v="0"/>
  </r>
  <r>
    <x v="6"/>
    <s v="Emitida"/>
    <d v="2018-08-31T00:00:00"/>
    <d v="2018-08-31T00:00:00"/>
    <d v="2018-09-30T00:00:00"/>
    <m/>
    <n v="12490"/>
    <x v="479"/>
    <x v="0"/>
  </r>
  <r>
    <x v="9"/>
    <s v="Emitida"/>
    <d v="2018-08-29T00:00:00"/>
    <d v="2018-08-29T00:00:00"/>
    <d v="2018-09-05T00:00:00"/>
    <m/>
    <n v="122940"/>
    <x v="478"/>
    <x v="0"/>
  </r>
  <r>
    <x v="9"/>
    <s v="Emitida"/>
    <d v="2018-08-29T00:00:00"/>
    <d v="2018-08-29T00:00:00"/>
    <d v="2018-09-05T00:00:00"/>
    <m/>
    <n v="117936"/>
    <x v="480"/>
    <x v="0"/>
  </r>
  <r>
    <x v="9"/>
    <s v="Emitida"/>
    <d v="2018-08-29T00:00:00"/>
    <d v="2018-08-29T00:00:00"/>
    <d v="2018-09-05T00:00:00"/>
    <m/>
    <n v="110646"/>
    <x v="481"/>
    <x v="0"/>
  </r>
  <r>
    <x v="26"/>
    <s v="Emitida"/>
    <d v="2018-08-29T00:00:00"/>
    <d v="2018-08-29T00:00:00"/>
    <d v="2018-09-06T00:00:00"/>
    <m/>
    <n v="25552.3"/>
    <x v="482"/>
    <x v="0"/>
  </r>
  <r>
    <x v="26"/>
    <s v="Emitida"/>
    <d v="2018-08-28T00:00:00"/>
    <d v="2018-08-28T00:00:00"/>
    <d v="2018-09-05T00:00:00"/>
    <m/>
    <n v="18980.599999999999"/>
    <x v="483"/>
    <x v="0"/>
  </r>
  <r>
    <x v="6"/>
    <s v="Emitida"/>
    <d v="2018-08-27T00:00:00"/>
    <d v="2018-08-27T00:00:00"/>
    <d v="2018-09-26T00:00:00"/>
    <m/>
    <n v="29480"/>
    <x v="102"/>
    <x v="0"/>
  </r>
  <r>
    <x v="26"/>
    <s v="Emitida"/>
    <d v="2018-08-27T00:00:00"/>
    <d v="2018-08-27T00:00:00"/>
    <d v="2018-09-04T00:00:00"/>
    <m/>
    <n v="8831.16"/>
    <x v="484"/>
    <x v="0"/>
  </r>
  <r>
    <x v="6"/>
    <s v="Emitida"/>
    <d v="2018-08-27T00:00:00"/>
    <d v="2018-08-27T00:00:00"/>
    <d v="2018-09-26T00:00:00"/>
    <m/>
    <n v="29480"/>
    <x v="102"/>
    <x v="0"/>
  </r>
  <r>
    <x v="26"/>
    <s v="Emitida"/>
    <d v="2018-08-27T00:00:00"/>
    <d v="2018-08-27T00:00:00"/>
    <d v="2018-09-04T00:00:00"/>
    <m/>
    <n v="6698.85"/>
    <x v="485"/>
    <x v="0"/>
  </r>
  <r>
    <x v="26"/>
    <s v="Emitida"/>
    <d v="2018-08-27T00:00:00"/>
    <d v="2018-08-27T00:00:00"/>
    <d v="2018-09-04T00:00:00"/>
    <m/>
    <n v="6623.37"/>
    <x v="486"/>
    <x v="0"/>
  </r>
  <r>
    <x v="26"/>
    <s v="Emitida"/>
    <d v="2018-08-27T00:00:00"/>
    <d v="2018-08-27T00:00:00"/>
    <d v="2018-09-04T00:00:00"/>
    <m/>
    <n v="13812.8"/>
    <x v="487"/>
    <x v="0"/>
  </r>
  <r>
    <x v="26"/>
    <s v="Emitida"/>
    <d v="2018-08-24T00:00:00"/>
    <d v="2018-08-24T00:00:00"/>
    <d v="2018-09-01T00:00:00"/>
    <m/>
    <n v="6605.82"/>
    <x v="488"/>
    <x v="0"/>
  </r>
  <r>
    <x v="22"/>
    <s v="Emitida"/>
    <d v="2018-08-24T00:00:00"/>
    <d v="2018-08-24T00:00:00"/>
    <d v="2018-09-08T00:00:00"/>
    <m/>
    <n v="800"/>
    <x v="33"/>
    <x v="0"/>
  </r>
  <r>
    <x v="2"/>
    <s v="Emitida"/>
    <d v="2018-08-23T00:00:00"/>
    <d v="2018-08-23T00:00:00"/>
    <d v="2018-09-22T00:00:00"/>
    <m/>
    <n v="221180"/>
    <x v="489"/>
    <x v="0"/>
  </r>
  <r>
    <x v="26"/>
    <s v="Emitida"/>
    <d v="2018-08-23T00:00:00"/>
    <d v="2018-08-23T00:00:00"/>
    <d v="2018-08-31T00:00:00"/>
    <m/>
    <n v="6343.68"/>
    <x v="490"/>
    <x v="0"/>
  </r>
  <r>
    <x v="8"/>
    <s v="Emitida"/>
    <d v="2018-08-21T00:00:00"/>
    <d v="2018-08-21T00:00:00"/>
    <d v="2018-10-05T00:00:00"/>
    <m/>
    <n v="25908"/>
    <x v="491"/>
    <x v="0"/>
  </r>
  <r>
    <x v="13"/>
    <s v="Emitida"/>
    <d v="2018-08-21T00:00:00"/>
    <d v="2018-08-21T00:00:00"/>
    <d v="2018-09-20T00:00:00"/>
    <m/>
    <n v="10500"/>
    <x v="492"/>
    <x v="0"/>
  </r>
  <r>
    <x v="26"/>
    <s v="Emitida"/>
    <d v="2018-08-21T00:00:00"/>
    <d v="2018-08-21T00:00:00"/>
    <d v="2018-08-29T00:00:00"/>
    <m/>
    <n v="15909"/>
    <x v="493"/>
    <x v="0"/>
  </r>
  <r>
    <x v="9"/>
    <s v="Emitida"/>
    <d v="2018-08-20T00:00:00"/>
    <d v="2018-08-20T00:00:00"/>
    <d v="2018-08-27T00:00:00"/>
    <m/>
    <n v="17094"/>
    <x v="494"/>
    <x v="0"/>
  </r>
  <r>
    <x v="11"/>
    <s v="Emitida"/>
    <d v="2018-08-17T00:00:00"/>
    <d v="2018-08-17T00:00:00"/>
    <d v="2018-10-16T00:00:00"/>
    <m/>
    <n v="2925"/>
    <x v="495"/>
    <x v="0"/>
  </r>
  <r>
    <x v="22"/>
    <s v="Emitida"/>
    <d v="2018-08-16T00:00:00"/>
    <d v="2018-07-16T00:00:00"/>
    <d v="2018-08-31T00:00:00"/>
    <m/>
    <n v="3168"/>
    <x v="496"/>
    <x v="0"/>
  </r>
  <r>
    <x v="32"/>
    <s v="Emitida"/>
    <d v="2018-08-16T00:00:00"/>
    <d v="2018-08-16T00:00:00"/>
    <d v="2018-08-23T00:00:00"/>
    <m/>
    <n v="1750"/>
    <x v="497"/>
    <x v="0"/>
  </r>
  <r>
    <x v="26"/>
    <s v="Emitida"/>
    <d v="2018-08-16T00:00:00"/>
    <d v="2018-08-16T00:00:00"/>
    <d v="2018-08-24T00:00:00"/>
    <m/>
    <n v="18791"/>
    <x v="498"/>
    <x v="0"/>
  </r>
  <r>
    <x v="13"/>
    <s v="Emitida"/>
    <d v="2018-08-16T00:00:00"/>
    <d v="2018-08-16T00:00:00"/>
    <d v="2018-09-15T00:00:00"/>
    <m/>
    <n v="784"/>
    <x v="499"/>
    <x v="0"/>
  </r>
  <r>
    <x v="33"/>
    <s v="Emitida"/>
    <d v="2018-08-15T00:00:00"/>
    <d v="2018-08-15T00:00:00"/>
    <d v="2018-08-22T00:00:00"/>
    <m/>
    <n v="8267"/>
    <x v="500"/>
    <x v="0"/>
  </r>
  <r>
    <x v="8"/>
    <s v="Emitida"/>
    <d v="2018-08-15T00:00:00"/>
    <d v="2018-08-15T00:00:00"/>
    <d v="2018-09-29T00:00:00"/>
    <m/>
    <n v="43154"/>
    <x v="501"/>
    <x v="0"/>
  </r>
  <r>
    <x v="6"/>
    <s v="Emitida"/>
    <d v="2018-08-14T00:00:00"/>
    <d v="2018-08-14T00:00:00"/>
    <d v="2018-09-13T00:00:00"/>
    <m/>
    <n v="6116"/>
    <x v="97"/>
    <x v="0"/>
  </r>
  <r>
    <x v="6"/>
    <s v="Emitida"/>
    <d v="2018-08-14T00:00:00"/>
    <d v="2018-08-14T00:00:00"/>
    <d v="2018-09-13T00:00:00"/>
    <m/>
    <n v="15840"/>
    <x v="502"/>
    <x v="0"/>
  </r>
  <r>
    <x v="10"/>
    <s v="Emitida"/>
    <d v="2018-08-14T00:00:00"/>
    <d v="2018-08-14T00:00:00"/>
    <d v="2018-09-13T00:00:00"/>
    <m/>
    <n v="3550"/>
    <x v="503"/>
    <x v="0"/>
  </r>
  <r>
    <x v="10"/>
    <s v="Emitida"/>
    <d v="2018-08-14T00:00:00"/>
    <d v="2018-08-14T00:00:00"/>
    <d v="2018-09-13T00:00:00"/>
    <m/>
    <n v="116547"/>
    <x v="504"/>
    <x v="0"/>
  </r>
  <r>
    <x v="26"/>
    <s v="Emitida"/>
    <d v="2018-08-14T00:00:00"/>
    <d v="2018-08-14T00:00:00"/>
    <d v="2018-08-22T00:00:00"/>
    <m/>
    <n v="6924.72"/>
    <x v="505"/>
    <x v="0"/>
  </r>
  <r>
    <x v="10"/>
    <s v="Emitida"/>
    <d v="2018-08-09T00:00:00"/>
    <d v="2018-08-09T00:00:00"/>
    <d v="2018-09-08T00:00:00"/>
    <m/>
    <n v="341140"/>
    <x v="506"/>
    <x v="0"/>
  </r>
  <r>
    <x v="9"/>
    <s v="Emitida"/>
    <d v="2018-08-09T00:00:00"/>
    <d v="2018-08-09T00:00:00"/>
    <d v="2018-08-16T00:00:00"/>
    <m/>
    <n v="2392"/>
    <x v="507"/>
    <x v="0"/>
  </r>
  <r>
    <x v="10"/>
    <s v="Emitida"/>
    <d v="2018-08-09T00:00:00"/>
    <d v="2018-08-09T00:00:00"/>
    <d v="2018-09-08T00:00:00"/>
    <m/>
    <n v="10390"/>
    <x v="508"/>
    <x v="0"/>
  </r>
  <r>
    <x v="26"/>
    <s v="Emitida"/>
    <d v="2018-08-09T00:00:00"/>
    <d v="2018-08-09T00:00:00"/>
    <d v="2018-08-17T00:00:00"/>
    <m/>
    <n v="5418.38"/>
    <x v="509"/>
    <x v="0"/>
  </r>
  <r>
    <x v="13"/>
    <s v="Emitida"/>
    <d v="2018-08-09T00:00:00"/>
    <d v="2018-08-09T00:00:00"/>
    <d v="2018-09-08T00:00:00"/>
    <m/>
    <n v="11850"/>
    <x v="510"/>
    <x v="0"/>
  </r>
  <r>
    <x v="6"/>
    <s v="Emitida"/>
    <d v="2018-08-09T00:00:00"/>
    <d v="2018-08-09T00:00:00"/>
    <d v="2018-09-08T00:00:00"/>
    <m/>
    <n v="29480"/>
    <x v="102"/>
    <x v="0"/>
  </r>
  <r>
    <x v="9"/>
    <s v="Emitida"/>
    <d v="2018-08-07T00:00:00"/>
    <d v="2018-08-07T00:00:00"/>
    <d v="2018-08-14T00:00:00"/>
    <m/>
    <n v="12814"/>
    <x v="511"/>
    <x v="0"/>
  </r>
  <r>
    <x v="26"/>
    <s v="Emitida"/>
    <d v="2018-08-03T00:00:00"/>
    <d v="2018-08-03T00:00:00"/>
    <d v="2018-08-11T00:00:00"/>
    <m/>
    <n v="7944.9"/>
    <x v="512"/>
    <x v="0"/>
  </r>
  <r>
    <x v="26"/>
    <s v="Emitida"/>
    <d v="2018-08-02T00:00:00"/>
    <d v="2018-08-02T00:00:00"/>
    <d v="2018-08-10T00:00:00"/>
    <m/>
    <n v="22147.200000000001"/>
    <x v="513"/>
    <x v="0"/>
  </r>
  <r>
    <x v="1"/>
    <s v="Emitida"/>
    <d v="2018-07-31T00:00:00"/>
    <d v="2018-07-31T00:00:00"/>
    <d v="2018-08-30T00:00:00"/>
    <m/>
    <n v="100466"/>
    <x v="514"/>
    <x v="0"/>
  </r>
  <r>
    <x v="9"/>
    <s v="Emitida"/>
    <d v="2018-07-31T00:00:00"/>
    <d v="2018-07-31T00:00:00"/>
    <d v="2018-08-07T00:00:00"/>
    <m/>
    <n v="13104"/>
    <x v="515"/>
    <x v="0"/>
  </r>
  <r>
    <x v="7"/>
    <s v="Emitida"/>
    <d v="2018-07-31T00:00:00"/>
    <d v="2018-07-31T00:00:00"/>
    <d v="2018-08-15T00:00:00"/>
    <m/>
    <n v="16736"/>
    <x v="516"/>
    <x v="0"/>
  </r>
  <r>
    <x v="26"/>
    <s v="Emitida"/>
    <d v="2018-07-30T00:00:00"/>
    <d v="2018-07-30T00:00:00"/>
    <d v="2018-08-07T00:00:00"/>
    <m/>
    <n v="4012.98"/>
    <x v="517"/>
    <x v="0"/>
  </r>
  <r>
    <x v="26"/>
    <s v="Emitida"/>
    <d v="2018-07-30T00:00:00"/>
    <d v="2018-07-30T00:00:00"/>
    <d v="2018-08-07T00:00:00"/>
    <m/>
    <n v="3351.6"/>
    <x v="518"/>
    <x v="0"/>
  </r>
  <r>
    <x v="26"/>
    <s v="Emitida"/>
    <d v="2018-07-27T00:00:00"/>
    <d v="2018-07-27T00:00:00"/>
    <d v="2018-08-04T00:00:00"/>
    <m/>
    <n v="8550.11"/>
    <x v="519"/>
    <x v="0"/>
  </r>
  <r>
    <x v="31"/>
    <s v="Emitida"/>
    <d v="2018-07-27T00:00:00"/>
    <d v="2018-07-27T00:00:00"/>
    <d v="2018-08-03T00:00:00"/>
    <m/>
    <n v="1126.2"/>
    <x v="520"/>
    <x v="0"/>
  </r>
  <r>
    <x v="9"/>
    <s v="Emitida"/>
    <d v="2018-07-26T00:00:00"/>
    <d v="2018-07-26T00:00:00"/>
    <d v="2018-08-02T00:00:00"/>
    <m/>
    <n v="14846"/>
    <x v="476"/>
    <x v="0"/>
  </r>
  <r>
    <x v="7"/>
    <s v="Emitida"/>
    <d v="2018-07-26T00:00:00"/>
    <d v="2018-07-26T00:00:00"/>
    <d v="2018-08-10T00:00:00"/>
    <m/>
    <n v="14740"/>
    <x v="130"/>
    <x v="0"/>
  </r>
  <r>
    <x v="26"/>
    <s v="Emitida"/>
    <d v="2018-07-26T00:00:00"/>
    <d v="2018-07-26T00:00:00"/>
    <d v="2018-08-03T00:00:00"/>
    <m/>
    <n v="5768.1"/>
    <x v="521"/>
    <x v="0"/>
  </r>
  <r>
    <x v="26"/>
    <s v="Emitida"/>
    <d v="2018-07-26T00:00:00"/>
    <d v="2018-07-26T00:00:00"/>
    <d v="2018-08-03T00:00:00"/>
    <m/>
    <n v="5768.1"/>
    <x v="521"/>
    <x v="0"/>
  </r>
  <r>
    <x v="7"/>
    <s v="Emitida"/>
    <d v="2018-07-26T00:00:00"/>
    <d v="2018-07-26T00:00:00"/>
    <d v="2018-08-10T00:00:00"/>
    <m/>
    <n v="29480"/>
    <x v="102"/>
    <x v="0"/>
  </r>
  <r>
    <x v="6"/>
    <s v="Emitida"/>
    <d v="2018-07-26T00:00:00"/>
    <d v="2018-07-26T00:00:00"/>
    <d v="2018-08-25T00:00:00"/>
    <m/>
    <n v="18348"/>
    <x v="522"/>
    <x v="0"/>
  </r>
  <r>
    <x v="26"/>
    <s v="Emitida"/>
    <d v="2018-07-26T00:00:00"/>
    <d v="2018-07-26T00:00:00"/>
    <d v="2018-08-03T00:00:00"/>
    <m/>
    <n v="6786"/>
    <x v="523"/>
    <x v="0"/>
  </r>
  <r>
    <x v="7"/>
    <s v="Emitida"/>
    <d v="2018-07-25T00:00:00"/>
    <d v="2018-07-25T00:00:00"/>
    <d v="2018-08-09T00:00:00"/>
    <m/>
    <n v="25000"/>
    <x v="524"/>
    <x v="0"/>
  </r>
  <r>
    <x v="7"/>
    <s v="Emitida"/>
    <d v="2018-07-25T00:00:00"/>
    <d v="2018-07-25T00:00:00"/>
    <d v="2018-08-09T00:00:00"/>
    <m/>
    <n v="26000"/>
    <x v="525"/>
    <x v="0"/>
  </r>
  <r>
    <x v="9"/>
    <s v="Emitida"/>
    <d v="2018-07-25T00:00:00"/>
    <d v="2018-07-25T00:00:00"/>
    <d v="2018-08-01T00:00:00"/>
    <m/>
    <n v="14682"/>
    <x v="526"/>
    <x v="0"/>
  </r>
  <r>
    <x v="9"/>
    <s v="Emitida"/>
    <d v="2018-07-25T00:00:00"/>
    <d v="2018-07-25T00:00:00"/>
    <d v="2018-08-01T00:00:00"/>
    <m/>
    <n v="14682"/>
    <x v="526"/>
    <x v="0"/>
  </r>
  <r>
    <x v="13"/>
    <s v="Emitida"/>
    <d v="2018-07-25T00:00:00"/>
    <d v="2018-07-25T00:00:00"/>
    <d v="2018-08-24T00:00:00"/>
    <m/>
    <n v="6680"/>
    <x v="527"/>
    <x v="0"/>
  </r>
  <r>
    <x v="22"/>
    <s v="Emitida"/>
    <d v="2018-07-23T00:00:00"/>
    <d v="2018-07-23T00:00:00"/>
    <d v="2018-08-07T00:00:00"/>
    <m/>
    <n v="3168"/>
    <x v="496"/>
    <x v="0"/>
  </r>
  <r>
    <x v="26"/>
    <s v="Emitida"/>
    <d v="2018-07-20T00:00:00"/>
    <d v="2018-07-20T00:00:00"/>
    <d v="2018-07-28T00:00:00"/>
    <m/>
    <n v="8509.5"/>
    <x v="528"/>
    <x v="0"/>
  </r>
  <r>
    <x v="26"/>
    <s v="Emitida"/>
    <d v="2018-07-20T00:00:00"/>
    <d v="2018-07-20T00:00:00"/>
    <d v="2018-07-28T00:00:00"/>
    <m/>
    <n v="10438.299999999999"/>
    <x v="529"/>
    <x v="0"/>
  </r>
  <r>
    <x v="7"/>
    <s v="Emitida"/>
    <d v="2018-07-19T00:00:00"/>
    <d v="2018-07-19T00:00:00"/>
    <d v="2018-08-03T00:00:00"/>
    <m/>
    <n v="350"/>
    <x v="530"/>
    <x v="0"/>
  </r>
  <r>
    <x v="6"/>
    <s v="Emitida"/>
    <d v="2018-07-17T00:00:00"/>
    <d v="2018-07-17T00:00:00"/>
    <d v="2018-08-16T00:00:00"/>
    <m/>
    <n v="6351"/>
    <x v="531"/>
    <x v="0"/>
  </r>
  <r>
    <x v="26"/>
    <s v="Emitida"/>
    <d v="2018-07-16T00:00:00"/>
    <d v="2018-07-16T00:00:00"/>
    <d v="2018-07-24T00:00:00"/>
    <m/>
    <n v="24466"/>
    <x v="532"/>
    <x v="0"/>
  </r>
  <r>
    <x v="26"/>
    <s v="Emitida"/>
    <d v="2018-07-16T00:00:00"/>
    <d v="2018-07-16T00:00:00"/>
    <d v="2018-07-24T00:00:00"/>
    <m/>
    <n v="7122.43"/>
    <x v="533"/>
    <x v="0"/>
  </r>
  <r>
    <x v="26"/>
    <s v="Emitida"/>
    <d v="2018-07-16T00:00:00"/>
    <d v="2018-07-16T00:00:00"/>
    <d v="2018-07-24T00:00:00"/>
    <m/>
    <n v="9801.4599999999991"/>
    <x v="534"/>
    <x v="0"/>
  </r>
  <r>
    <x v="26"/>
    <s v="Emitida"/>
    <d v="2018-07-11T00:00:00"/>
    <d v="2018-07-11T00:00:00"/>
    <d v="2018-07-19T00:00:00"/>
    <m/>
    <n v="31859.4"/>
    <x v="535"/>
    <x v="0"/>
  </r>
  <r>
    <x v="26"/>
    <s v="Emitida"/>
    <d v="2018-07-11T00:00:00"/>
    <d v="2018-07-11T00:00:00"/>
    <d v="2018-07-19T00:00:00"/>
    <m/>
    <n v="11529.3"/>
    <x v="536"/>
    <x v="0"/>
  </r>
  <r>
    <x v="8"/>
    <s v="Emitida"/>
    <d v="2018-07-10T00:00:00"/>
    <d v="2018-07-10T00:00:00"/>
    <d v="2018-08-24T00:00:00"/>
    <m/>
    <n v="38904.300000000003"/>
    <x v="537"/>
    <x v="0"/>
  </r>
  <r>
    <x v="2"/>
    <s v="Emitida"/>
    <d v="2018-07-06T00:00:00"/>
    <d v="2018-07-06T00:00:00"/>
    <d v="2018-08-05T00:00:00"/>
    <m/>
    <n v="44154"/>
    <x v="538"/>
    <x v="0"/>
  </r>
  <r>
    <x v="2"/>
    <s v="Emitida"/>
    <d v="2018-07-06T00:00:00"/>
    <d v="2018-07-06T00:00:00"/>
    <d v="2018-08-05T00:00:00"/>
    <m/>
    <n v="210121"/>
    <x v="539"/>
    <x v="0"/>
  </r>
  <r>
    <x v="26"/>
    <s v="Emitida"/>
    <d v="2018-07-05T00:00:00"/>
    <d v="2018-07-05T00:00:00"/>
    <d v="2018-07-13T00:00:00"/>
    <m/>
    <n v="50921.2"/>
    <x v="540"/>
    <x v="0"/>
  </r>
  <r>
    <x v="2"/>
    <s v="Emitida"/>
    <d v="2018-07-05T00:00:00"/>
    <d v="2018-07-05T00:00:00"/>
    <d v="2018-08-04T00:00:00"/>
    <m/>
    <n v="800"/>
    <x v="33"/>
    <x v="0"/>
  </r>
  <r>
    <x v="15"/>
    <s v="Emitida"/>
    <d v="2018-07-05T00:00:00"/>
    <d v="2018-07-05T00:00:00"/>
    <d v="2018-07-20T00:00:00"/>
    <m/>
    <n v="4153.08"/>
    <x v="541"/>
    <x v="0"/>
  </r>
  <r>
    <x v="26"/>
    <s v="Emitida"/>
    <d v="2018-07-05T00:00:00"/>
    <d v="2018-07-05T00:00:00"/>
    <d v="2018-07-13T00:00:00"/>
    <m/>
    <n v="17156.900000000001"/>
    <x v="542"/>
    <x v="0"/>
  </r>
  <r>
    <x v="6"/>
    <s v="Emitida"/>
    <d v="2018-07-04T00:00:00"/>
    <d v="2018-07-04T00:00:00"/>
    <d v="2018-08-03T00:00:00"/>
    <m/>
    <n v="8712"/>
    <x v="543"/>
    <x v="0"/>
  </r>
  <r>
    <x v="2"/>
    <s v="Emitida"/>
    <d v="2018-07-03T00:00:00"/>
    <d v="2018-07-03T00:00:00"/>
    <d v="2018-08-02T00:00:00"/>
    <m/>
    <n v="24484"/>
    <x v="544"/>
    <x v="0"/>
  </r>
  <r>
    <x v="2"/>
    <s v="Emitida"/>
    <d v="2018-07-03T00:00:00"/>
    <d v="2018-07-03T00:00:00"/>
    <d v="2018-08-02T00:00:00"/>
    <m/>
    <n v="11184"/>
    <x v="545"/>
    <x v="0"/>
  </r>
  <r>
    <x v="22"/>
    <s v="Emitida"/>
    <d v="2018-07-02T00:00:00"/>
    <d v="2018-07-02T00:00:00"/>
    <d v="2018-07-17T00:00:00"/>
    <m/>
    <n v="3168"/>
    <x v="496"/>
    <x v="0"/>
  </r>
  <r>
    <x v="6"/>
    <s v="Emitida"/>
    <d v="2018-07-02T00:00:00"/>
    <d v="2018-07-02T00:00:00"/>
    <d v="2018-08-01T00:00:00"/>
    <m/>
    <n v="810"/>
    <x v="546"/>
    <x v="0"/>
  </r>
  <r>
    <x v="26"/>
    <s v="Emitida"/>
    <d v="2018-07-02T00:00:00"/>
    <d v="2018-07-02T00:00:00"/>
    <d v="2018-07-10T00:00:00"/>
    <m/>
    <n v="59213.3"/>
    <x v="547"/>
    <x v="0"/>
  </r>
  <r>
    <x v="7"/>
    <s v="Emitida"/>
    <d v="2018-06-29T00:00:00"/>
    <d v="2018-06-29T00:00:00"/>
    <d v="2018-07-14T00:00:00"/>
    <m/>
    <n v="2690"/>
    <x v="548"/>
    <x v="0"/>
  </r>
  <r>
    <x v="13"/>
    <s v="Emitida"/>
    <d v="2018-06-28T00:00:00"/>
    <d v="2018-06-28T00:00:00"/>
    <d v="2018-07-28T00:00:00"/>
    <m/>
    <n v="20552"/>
    <x v="549"/>
    <x v="0"/>
  </r>
  <r>
    <x v="6"/>
    <s v="Emitida"/>
    <d v="2018-06-28T00:00:00"/>
    <d v="2018-06-28T00:00:00"/>
    <d v="2018-07-28T00:00:00"/>
    <m/>
    <n v="29876"/>
    <x v="391"/>
    <x v="0"/>
  </r>
  <r>
    <x v="34"/>
    <s v="Emitida"/>
    <d v="2018-06-27T00:00:00"/>
    <d v="2018-06-27T00:00:00"/>
    <d v="2018-07-12T00:00:00"/>
    <m/>
    <n v="1746"/>
    <x v="550"/>
    <x v="0"/>
  </r>
  <r>
    <x v="6"/>
    <s v="Emitida"/>
    <d v="2018-06-27T00:00:00"/>
    <d v="2018-06-27T00:00:00"/>
    <d v="2018-07-27T00:00:00"/>
    <m/>
    <n v="90"/>
    <x v="551"/>
    <x v="0"/>
  </r>
  <r>
    <x v="26"/>
    <s v="Emitida"/>
    <d v="2018-06-27T00:00:00"/>
    <d v="2018-06-27T00:00:00"/>
    <d v="2018-07-05T00:00:00"/>
    <m/>
    <n v="14234.5"/>
    <x v="552"/>
    <x v="0"/>
  </r>
  <r>
    <x v="26"/>
    <s v="Emitida"/>
    <d v="2018-06-26T00:00:00"/>
    <d v="2018-06-26T00:00:00"/>
    <d v="2018-07-04T00:00:00"/>
    <m/>
    <n v="20067.599999999999"/>
    <x v="553"/>
    <x v="0"/>
  </r>
  <r>
    <x v="6"/>
    <s v="Emitida"/>
    <d v="2018-06-26T00:00:00"/>
    <d v="2018-06-26T00:00:00"/>
    <d v="2018-07-26T00:00:00"/>
    <m/>
    <n v="34848"/>
    <x v="32"/>
    <x v="0"/>
  </r>
  <r>
    <x v="6"/>
    <s v="Emitida"/>
    <d v="2018-06-26T00:00:00"/>
    <d v="2018-06-26T00:00:00"/>
    <d v="2018-07-26T00:00:00"/>
    <m/>
    <n v="17424"/>
    <x v="384"/>
    <x v="0"/>
  </r>
  <r>
    <x v="26"/>
    <s v="Emitida"/>
    <d v="2018-06-21T00:00:00"/>
    <d v="2018-06-21T00:00:00"/>
    <d v="2018-06-29T00:00:00"/>
    <m/>
    <n v="1033.46"/>
    <x v="554"/>
    <x v="0"/>
  </r>
  <r>
    <x v="26"/>
    <s v="Emitida"/>
    <d v="2018-06-21T00:00:00"/>
    <d v="2018-06-21T00:00:00"/>
    <d v="2018-06-29T00:00:00"/>
    <m/>
    <n v="3535.63"/>
    <x v="555"/>
    <x v="0"/>
  </r>
  <r>
    <x v="26"/>
    <s v="Emitida"/>
    <d v="2018-06-21T00:00:00"/>
    <d v="2018-06-21T00:00:00"/>
    <d v="2018-06-29T00:00:00"/>
    <m/>
    <n v="2140.69"/>
    <x v="556"/>
    <x v="0"/>
  </r>
  <r>
    <x v="26"/>
    <s v="Emitida"/>
    <d v="2018-06-21T00:00:00"/>
    <d v="2018-06-21T00:00:00"/>
    <d v="2018-06-29T00:00:00"/>
    <m/>
    <n v="2140.69"/>
    <x v="556"/>
    <x v="0"/>
  </r>
  <r>
    <x v="6"/>
    <s v="Emitida"/>
    <d v="2018-06-21T00:00:00"/>
    <d v="2018-06-21T00:00:00"/>
    <d v="2018-07-21T00:00:00"/>
    <m/>
    <n v="8266"/>
    <x v="229"/>
    <x v="0"/>
  </r>
  <r>
    <x v="2"/>
    <s v="Emitida"/>
    <d v="2018-06-20T00:00:00"/>
    <d v="2018-06-20T00:00:00"/>
    <d v="2018-07-20T00:00:00"/>
    <m/>
    <n v="240"/>
    <x v="557"/>
    <x v="0"/>
  </r>
  <r>
    <x v="10"/>
    <s v="Emitida"/>
    <d v="2018-06-18T00:00:00"/>
    <d v="2018-06-18T00:00:00"/>
    <d v="2018-07-18T00:00:00"/>
    <m/>
    <n v="5899.5"/>
    <x v="558"/>
    <x v="0"/>
  </r>
  <r>
    <x v="6"/>
    <s v="Emitida"/>
    <d v="2018-06-18T00:00:00"/>
    <d v="2018-06-18T00:00:00"/>
    <d v="2018-07-18T00:00:00"/>
    <m/>
    <n v="6624"/>
    <x v="559"/>
    <x v="0"/>
  </r>
  <r>
    <x v="6"/>
    <s v="Emitida"/>
    <d v="2018-06-13T00:00:00"/>
    <d v="2018-06-13T00:00:00"/>
    <d v="2018-07-13T00:00:00"/>
    <m/>
    <n v="5000"/>
    <x v="68"/>
    <x v="0"/>
  </r>
  <r>
    <x v="26"/>
    <s v="Emitida"/>
    <d v="2018-06-13T00:00:00"/>
    <d v="2018-06-13T00:00:00"/>
    <d v="2018-06-21T00:00:00"/>
    <m/>
    <n v="42749.5"/>
    <x v="560"/>
    <x v="0"/>
  </r>
  <r>
    <x v="35"/>
    <s v="Emitida"/>
    <d v="2018-06-13T00:00:00"/>
    <d v="2018-06-13T00:00:00"/>
    <d v="2018-06-28T00:00:00"/>
    <m/>
    <n v="5250"/>
    <x v="561"/>
    <x v="1"/>
  </r>
  <r>
    <x v="5"/>
    <s v="Emitida"/>
    <d v="2018-06-13T00:00:00"/>
    <d v="2018-06-13T00:00:00"/>
    <d v="2018-07-28T00:00:00"/>
    <m/>
    <n v="25202"/>
    <x v="442"/>
    <x v="0"/>
  </r>
  <r>
    <x v="26"/>
    <s v="Emitida"/>
    <d v="2018-06-12T00:00:00"/>
    <d v="2018-06-12T00:00:00"/>
    <d v="2018-06-20T00:00:00"/>
    <m/>
    <n v="4852.0600000000004"/>
    <x v="562"/>
    <x v="0"/>
  </r>
  <r>
    <x v="36"/>
    <s v="Emitida"/>
    <d v="2018-06-07T00:00:00"/>
    <d v="2018-06-07T00:00:00"/>
    <d v="2018-06-14T00:00:00"/>
    <m/>
    <n v="2688"/>
    <x v="28"/>
    <x v="1"/>
  </r>
  <r>
    <x v="26"/>
    <s v="Emitida"/>
    <d v="2018-06-06T00:00:00"/>
    <d v="2018-06-06T00:00:00"/>
    <d v="2018-06-14T00:00:00"/>
    <m/>
    <n v="27973"/>
    <x v="563"/>
    <x v="0"/>
  </r>
  <r>
    <x v="8"/>
    <s v="Emitida"/>
    <d v="2018-06-06T00:00:00"/>
    <d v="2018-06-06T00:00:00"/>
    <d v="2018-07-21T00:00:00"/>
    <m/>
    <n v="32474.6"/>
    <x v="564"/>
    <x v="0"/>
  </r>
  <r>
    <x v="26"/>
    <s v="Emitida"/>
    <d v="2018-06-05T00:00:00"/>
    <d v="2018-06-05T00:00:00"/>
    <d v="2018-06-13T00:00:00"/>
    <m/>
    <n v="21327.599999999999"/>
    <x v="565"/>
    <x v="0"/>
  </r>
  <r>
    <x v="6"/>
    <s v="Emitida"/>
    <d v="2018-06-04T00:00:00"/>
    <d v="2018-06-04T00:00:00"/>
    <d v="2018-07-04T00:00:00"/>
    <m/>
    <n v="3418"/>
    <x v="566"/>
    <x v="0"/>
  </r>
  <r>
    <x v="26"/>
    <s v="Emitida"/>
    <d v="2018-06-04T00:00:00"/>
    <d v="2018-06-04T00:00:00"/>
    <d v="2018-06-12T00:00:00"/>
    <m/>
    <n v="3896.1"/>
    <x v="567"/>
    <x v="0"/>
  </r>
  <r>
    <x v="26"/>
    <s v="Emitida"/>
    <d v="2018-06-04T00:00:00"/>
    <d v="2018-06-04T00:00:00"/>
    <d v="2018-06-12T00:00:00"/>
    <m/>
    <n v="3014.38"/>
    <x v="568"/>
    <x v="0"/>
  </r>
  <r>
    <x v="26"/>
    <s v="Emitida"/>
    <d v="2018-05-31T00:00:00"/>
    <d v="2018-05-31T00:00:00"/>
    <d v="2018-06-08T00:00:00"/>
    <m/>
    <n v="23433.7"/>
    <x v="569"/>
    <x v="0"/>
  </r>
  <r>
    <x v="6"/>
    <s v="Emitida"/>
    <d v="2018-05-30T00:00:00"/>
    <d v="2018-05-30T00:00:00"/>
    <d v="2018-06-29T00:00:00"/>
    <m/>
    <n v="17424"/>
    <x v="384"/>
    <x v="0"/>
  </r>
  <r>
    <x v="6"/>
    <s v="Emitida"/>
    <d v="2018-05-28T00:00:00"/>
    <d v="2018-05-28T00:00:00"/>
    <d v="2018-06-27T00:00:00"/>
    <m/>
    <n v="2600"/>
    <x v="570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8374"/>
    <x v="572"/>
    <x v="0"/>
  </r>
  <r>
    <x v="15"/>
    <s v="Emitida"/>
    <d v="2018-05-24T00:00:00"/>
    <d v="2018-05-24T00:00:00"/>
    <d v="2018-06-08T00:00:00"/>
    <m/>
    <n v="8374"/>
    <x v="572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8374"/>
    <x v="572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4187"/>
    <x v="571"/>
    <x v="0"/>
  </r>
  <r>
    <x v="15"/>
    <s v="Emitida"/>
    <d v="2018-05-24T00:00:00"/>
    <d v="2018-05-24T00:00:00"/>
    <d v="2018-06-08T00:00:00"/>
    <m/>
    <n v="4187"/>
    <x v="571"/>
    <x v="0"/>
  </r>
  <r>
    <x v="26"/>
    <s v="Emitida"/>
    <d v="2018-05-24T00:00:00"/>
    <d v="2018-05-24T00:00:00"/>
    <d v="2018-06-01T00:00:00"/>
    <m/>
    <n v="13956.9"/>
    <x v="573"/>
    <x v="0"/>
  </r>
  <r>
    <x v="10"/>
    <s v="Emitida"/>
    <d v="2018-05-23T00:00:00"/>
    <d v="2018-05-23T00:00:00"/>
    <d v="2018-06-22T00:00:00"/>
    <m/>
    <n v="24807.8"/>
    <x v="574"/>
    <x v="0"/>
  </r>
  <r>
    <x v="10"/>
    <s v="Emitida"/>
    <d v="2018-05-23T00:00:00"/>
    <d v="2018-05-23T00:00:00"/>
    <d v="2018-06-22T00:00:00"/>
    <m/>
    <n v="320"/>
    <x v="575"/>
    <x v="0"/>
  </r>
  <r>
    <x v="26"/>
    <s v="Emitida"/>
    <d v="2018-05-23T00:00:00"/>
    <d v="2018-05-23T00:00:00"/>
    <d v="2018-05-31T00:00:00"/>
    <m/>
    <n v="4258.1499999999996"/>
    <x v="576"/>
    <x v="0"/>
  </r>
  <r>
    <x v="26"/>
    <s v="Emitida"/>
    <d v="2018-05-22T00:00:00"/>
    <d v="2018-05-22T00:00:00"/>
    <d v="2018-05-30T00:00:00"/>
    <m/>
    <n v="4295.3100000000004"/>
    <x v="577"/>
    <x v="0"/>
  </r>
  <r>
    <x v="15"/>
    <s v="Emitida"/>
    <d v="2018-05-22T00:00:00"/>
    <d v="2018-05-22T00:00:00"/>
    <d v="2018-06-06T00:00:00"/>
    <m/>
    <n v="4225.16"/>
    <x v="578"/>
    <x v="0"/>
  </r>
  <r>
    <x v="6"/>
    <s v="Emitida"/>
    <d v="2018-05-22T00:00:00"/>
    <d v="2018-05-22T00:00:00"/>
    <d v="2018-06-21T00:00:00"/>
    <m/>
    <n v="17424"/>
    <x v="384"/>
    <x v="0"/>
  </r>
  <r>
    <x v="6"/>
    <s v="Emitida"/>
    <d v="2018-05-22T00:00:00"/>
    <d v="2018-05-22T00:00:00"/>
    <d v="2018-06-21T00:00:00"/>
    <m/>
    <n v="18348"/>
    <x v="522"/>
    <x v="0"/>
  </r>
  <r>
    <x v="6"/>
    <s v="Emitida"/>
    <d v="2018-05-21T00:00:00"/>
    <d v="2018-05-21T00:00:00"/>
    <d v="2018-06-20T00:00:00"/>
    <m/>
    <n v="5012"/>
    <x v="579"/>
    <x v="0"/>
  </r>
  <r>
    <x v="6"/>
    <s v="Emitida"/>
    <d v="2018-05-21T00:00:00"/>
    <d v="2018-05-21T00:00:00"/>
    <d v="2018-06-20T00:00:00"/>
    <m/>
    <n v="11540"/>
    <x v="580"/>
    <x v="0"/>
  </r>
  <r>
    <x v="6"/>
    <s v="Emitida"/>
    <d v="2018-05-21T00:00:00"/>
    <d v="2018-05-21T00:00:00"/>
    <d v="2018-06-20T00:00:00"/>
    <m/>
    <n v="5000"/>
    <x v="68"/>
    <x v="0"/>
  </r>
  <r>
    <x v="13"/>
    <s v="Emitida"/>
    <d v="2018-05-21T00:00:00"/>
    <d v="2018-05-21T00:00:00"/>
    <d v="2018-06-20T00:00:00"/>
    <m/>
    <n v="19380"/>
    <x v="581"/>
    <x v="0"/>
  </r>
  <r>
    <x v="6"/>
    <s v="Emitida"/>
    <d v="2018-05-21T00:00:00"/>
    <d v="2018-05-21T00:00:00"/>
    <d v="2018-06-20T00:00:00"/>
    <m/>
    <n v="4824"/>
    <x v="582"/>
    <x v="0"/>
  </r>
  <r>
    <x v="26"/>
    <s v="Emitida"/>
    <d v="2018-05-18T00:00:00"/>
    <d v="2018-05-18T00:00:00"/>
    <d v="2018-05-26T00:00:00"/>
    <m/>
    <n v="3785.31"/>
    <x v="583"/>
    <x v="0"/>
  </r>
  <r>
    <x v="1"/>
    <s v="Emitida"/>
    <d v="2018-05-17T00:00:00"/>
    <d v="2018-05-17T00:00:00"/>
    <d v="2018-06-16T00:00:00"/>
    <m/>
    <n v="112706"/>
    <x v="584"/>
    <x v="0"/>
  </r>
  <r>
    <x v="6"/>
    <s v="Emitida"/>
    <d v="2018-05-17T00:00:00"/>
    <d v="2018-05-17T00:00:00"/>
    <d v="2018-06-16T00:00:00"/>
    <m/>
    <n v="12232"/>
    <x v="120"/>
    <x v="0"/>
  </r>
  <r>
    <x v="26"/>
    <s v="Emitida"/>
    <d v="2018-05-17T00:00:00"/>
    <d v="2018-05-17T00:00:00"/>
    <d v="2018-05-25T00:00:00"/>
    <m/>
    <n v="45523.3"/>
    <x v="585"/>
    <x v="0"/>
  </r>
  <r>
    <x v="26"/>
    <s v="Emitida"/>
    <d v="2018-05-17T00:00:00"/>
    <d v="2018-05-17T00:00:00"/>
    <d v="2018-05-25T00:00:00"/>
    <m/>
    <n v="5592.26"/>
    <x v="586"/>
    <x v="0"/>
  </r>
  <r>
    <x v="6"/>
    <s v="Emitida"/>
    <d v="2018-05-16T00:00:00"/>
    <d v="2018-05-16T00:00:00"/>
    <d v="2018-06-15T00:00:00"/>
    <m/>
    <n v="4996"/>
    <x v="587"/>
    <x v="0"/>
  </r>
  <r>
    <x v="6"/>
    <s v="Emitida"/>
    <d v="2018-05-16T00:00:00"/>
    <d v="2018-05-16T00:00:00"/>
    <d v="2018-06-15T00:00:00"/>
    <m/>
    <n v="5000"/>
    <x v="68"/>
    <x v="0"/>
  </r>
  <r>
    <x v="26"/>
    <s v="Emitida"/>
    <d v="2018-05-15T00:00:00"/>
    <d v="2018-05-15T00:00:00"/>
    <d v="2018-05-23T00:00:00"/>
    <m/>
    <n v="541.79999999999995"/>
    <x v="588"/>
    <x v="0"/>
  </r>
  <r>
    <x v="26"/>
    <s v="Emitida"/>
    <d v="2018-05-15T00:00:00"/>
    <d v="2018-05-15T00:00:00"/>
    <d v="2018-05-23T00:00:00"/>
    <m/>
    <n v="6966"/>
    <x v="358"/>
    <x v="0"/>
  </r>
  <r>
    <x v="37"/>
    <s v="Emitida"/>
    <d v="2018-05-14T00:00:00"/>
    <d v="2018-05-14T00:00:00"/>
    <d v="2018-06-13T00:00:00"/>
    <m/>
    <n v="5130"/>
    <x v="589"/>
    <x v="0"/>
  </r>
  <r>
    <x v="26"/>
    <s v="Emitida"/>
    <d v="2018-05-14T00:00:00"/>
    <d v="2018-05-14T00:00:00"/>
    <d v="2018-05-22T00:00:00"/>
    <m/>
    <n v="22861.8"/>
    <x v="590"/>
    <x v="0"/>
  </r>
  <r>
    <x v="26"/>
    <s v="Emitida"/>
    <d v="2018-05-14T00:00:00"/>
    <d v="2018-05-14T00:00:00"/>
    <d v="2018-05-22T00:00:00"/>
    <m/>
    <n v="27031.8"/>
    <x v="591"/>
    <x v="0"/>
  </r>
  <r>
    <x v="26"/>
    <s v="Emitida"/>
    <d v="2018-05-11T00:00:00"/>
    <d v="2018-05-11T00:00:00"/>
    <d v="2018-05-19T00:00:00"/>
    <m/>
    <n v="61746.400000000001"/>
    <x v="592"/>
    <x v="0"/>
  </r>
  <r>
    <x v="26"/>
    <s v="Emitida"/>
    <d v="2018-05-11T00:00:00"/>
    <d v="2018-05-11T00:00:00"/>
    <d v="2018-05-19T00:00:00"/>
    <m/>
    <n v="9873.3700000000008"/>
    <x v="593"/>
    <x v="0"/>
  </r>
  <r>
    <x v="6"/>
    <s v="Emitida"/>
    <d v="2018-05-09T00:00:00"/>
    <d v="2018-05-09T00:00:00"/>
    <d v="2018-06-08T00:00:00"/>
    <m/>
    <n v="12898"/>
    <x v="594"/>
    <x v="0"/>
  </r>
  <r>
    <x v="8"/>
    <s v="Emitida"/>
    <d v="2018-05-09T00:00:00"/>
    <d v="2018-05-09T00:00:00"/>
    <d v="2018-06-23T00:00:00"/>
    <m/>
    <n v="40127"/>
    <x v="595"/>
    <x v="0"/>
  </r>
  <r>
    <x v="5"/>
    <s v="Emitida"/>
    <d v="2018-05-04T00:00:00"/>
    <d v="2018-05-04T00:00:00"/>
    <d v="2018-06-18T00:00:00"/>
    <m/>
    <n v="25202"/>
    <x v="442"/>
    <x v="0"/>
  </r>
  <r>
    <x v="26"/>
    <s v="Emitida"/>
    <d v="2018-05-03T00:00:00"/>
    <d v="2018-05-03T00:00:00"/>
    <d v="2018-05-11T00:00:00"/>
    <m/>
    <n v="10935.7"/>
    <x v="596"/>
    <x v="0"/>
  </r>
  <r>
    <x v="26"/>
    <s v="Emitida"/>
    <d v="2018-05-03T00:00:00"/>
    <d v="2018-05-03T00:00:00"/>
    <d v="2018-05-11T00:00:00"/>
    <m/>
    <n v="29963.200000000001"/>
    <x v="597"/>
    <x v="0"/>
  </r>
  <r>
    <x v="6"/>
    <s v="Emitida"/>
    <d v="2018-05-02T00:00:00"/>
    <d v="2018-05-02T00:00:00"/>
    <d v="2018-06-01T00:00:00"/>
    <m/>
    <n v="29480"/>
    <x v="102"/>
    <x v="0"/>
  </r>
  <r>
    <x v="6"/>
    <s v="Emitida"/>
    <d v="2018-05-02T00:00:00"/>
    <d v="2018-05-02T00:00:00"/>
    <d v="2018-06-01T00:00:00"/>
    <m/>
    <n v="5000"/>
    <x v="68"/>
    <x v="0"/>
  </r>
  <r>
    <x v="26"/>
    <s v="Emitida"/>
    <d v="2018-05-02T00:00:00"/>
    <d v="2018-05-02T00:00:00"/>
    <d v="2018-05-10T00:00:00"/>
    <m/>
    <n v="6263.03"/>
    <x v="598"/>
    <x v="0"/>
  </r>
  <r>
    <x v="6"/>
    <s v="Emitida"/>
    <d v="2018-04-26T00:00:00"/>
    <d v="2018-04-26T00:00:00"/>
    <d v="2018-05-26T00:00:00"/>
    <m/>
    <n v="17424"/>
    <x v="384"/>
    <x v="0"/>
  </r>
  <r>
    <x v="38"/>
    <s v="Emitida"/>
    <d v="2018-04-25T00:00:00"/>
    <d v="2018-04-25T00:00:00"/>
    <d v="2018-04-25T00:00:00"/>
    <m/>
    <n v="4715"/>
    <x v="599"/>
    <x v="0"/>
  </r>
  <r>
    <x v="26"/>
    <s v="Emitida"/>
    <d v="2018-04-24T00:00:00"/>
    <d v="2018-04-24T00:00:00"/>
    <d v="2018-05-02T00:00:00"/>
    <m/>
    <n v="66109.100000000006"/>
    <x v="600"/>
    <x v="0"/>
  </r>
  <r>
    <x v="6"/>
    <s v="Emitida"/>
    <d v="2018-04-23T00:00:00"/>
    <d v="2018-04-23T00:00:00"/>
    <d v="2018-05-23T00:00:00"/>
    <m/>
    <n v="6408"/>
    <x v="601"/>
    <x v="0"/>
  </r>
  <r>
    <x v="26"/>
    <s v="Emitida"/>
    <d v="2018-04-23T00:00:00"/>
    <d v="2018-04-23T00:00:00"/>
    <d v="2018-05-01T00:00:00"/>
    <m/>
    <n v="2193.6"/>
    <x v="602"/>
    <x v="0"/>
  </r>
  <r>
    <x v="25"/>
    <s v="Emitida"/>
    <d v="2018-04-20T00:00:00"/>
    <d v="2018-04-20T00:00:00"/>
    <d v="2018-05-05T00:00:00"/>
    <m/>
    <n v="16673"/>
    <x v="603"/>
    <x v="0"/>
  </r>
  <r>
    <x v="17"/>
    <s v="Emitida"/>
    <d v="2018-04-19T00:00:00"/>
    <d v="2018-04-19T00:00:00"/>
    <d v="2018-05-04T00:00:00"/>
    <m/>
    <n v="542"/>
    <x v="604"/>
    <x v="0"/>
  </r>
  <r>
    <x v="13"/>
    <s v="Emitida"/>
    <d v="2018-04-19T00:00:00"/>
    <d v="2018-04-19T00:00:00"/>
    <d v="2018-05-19T00:00:00"/>
    <m/>
    <n v="27490"/>
    <x v="605"/>
    <x v="0"/>
  </r>
  <r>
    <x v="6"/>
    <s v="Emitida"/>
    <d v="2018-04-18T00:00:00"/>
    <d v="2018-04-18T00:00:00"/>
    <d v="2018-05-18T00:00:00"/>
    <m/>
    <n v="17424"/>
    <x v="384"/>
    <x v="0"/>
  </r>
  <r>
    <x v="6"/>
    <s v="Emitida"/>
    <d v="2018-04-16T00:00:00"/>
    <d v="2018-04-16T00:00:00"/>
    <d v="2018-05-16T00:00:00"/>
    <m/>
    <n v="19224"/>
    <x v="606"/>
    <x v="0"/>
  </r>
  <r>
    <x v="5"/>
    <s v="Emitida"/>
    <d v="2018-04-12T00:00:00"/>
    <d v="2018-04-12T00:00:00"/>
    <d v="2018-05-27T00:00:00"/>
    <m/>
    <n v="25202"/>
    <x v="442"/>
    <x v="0"/>
  </r>
  <r>
    <x v="5"/>
    <s v="Emitida"/>
    <d v="2018-04-11T00:00:00"/>
    <d v="2018-04-11T00:00:00"/>
    <d v="2018-05-26T00:00:00"/>
    <m/>
    <n v="25202"/>
    <x v="442"/>
    <x v="0"/>
  </r>
  <r>
    <x v="25"/>
    <s v="Emitida"/>
    <d v="2018-04-11T00:00:00"/>
    <d v="2018-04-11T00:00:00"/>
    <d v="2018-04-26T00:00:00"/>
    <m/>
    <n v="16673"/>
    <x v="603"/>
    <x v="0"/>
  </r>
  <r>
    <x v="6"/>
    <s v="Emitida"/>
    <d v="2018-04-11T00:00:00"/>
    <d v="2018-04-11T00:00:00"/>
    <d v="2018-05-11T00:00:00"/>
    <m/>
    <n v="16532"/>
    <x v="284"/>
    <x v="0"/>
  </r>
  <r>
    <x v="1"/>
    <s v="Emitida"/>
    <d v="2018-04-10T00:00:00"/>
    <d v="2018-04-10T00:00:00"/>
    <d v="2018-05-10T00:00:00"/>
    <m/>
    <n v="74855.600000000006"/>
    <x v="607"/>
    <x v="0"/>
  </r>
  <r>
    <x v="24"/>
    <s v="Emitida"/>
    <d v="2018-04-09T00:00:00"/>
    <d v="2018-04-09T00:00:00"/>
    <d v="2018-04-17T00:00:00"/>
    <m/>
    <n v="8886"/>
    <x v="608"/>
    <x v="0"/>
  </r>
  <r>
    <x v="5"/>
    <s v="Emitida"/>
    <d v="2018-04-06T00:00:00"/>
    <d v="2018-04-06T00:00:00"/>
    <d v="2018-05-21T00:00:00"/>
    <m/>
    <n v="25202"/>
    <x v="442"/>
    <x v="0"/>
  </r>
  <r>
    <x v="26"/>
    <s v="Emitida"/>
    <d v="2018-04-06T00:00:00"/>
    <d v="2018-04-06T00:00:00"/>
    <d v="2018-04-14T00:00:00"/>
    <m/>
    <n v="104052"/>
    <x v="609"/>
    <x v="0"/>
  </r>
  <r>
    <x v="7"/>
    <s v="Emitida"/>
    <d v="2018-04-05T00:00:00"/>
    <d v="2018-04-05T00:00:00"/>
    <d v="2018-04-20T00:00:00"/>
    <m/>
    <n v="22577"/>
    <x v="610"/>
    <x v="0"/>
  </r>
  <r>
    <x v="6"/>
    <s v="Emitida"/>
    <d v="2018-04-05T00:00:00"/>
    <d v="2018-04-05T00:00:00"/>
    <d v="2018-05-05T00:00:00"/>
    <m/>
    <n v="13844"/>
    <x v="611"/>
    <x v="0"/>
  </r>
  <r>
    <x v="6"/>
    <s v="Emitida"/>
    <d v="2018-04-04T00:00:00"/>
    <d v="2018-04-04T00:00:00"/>
    <d v="2018-05-04T00:00:00"/>
    <m/>
    <n v="4292"/>
    <x v="612"/>
    <x v="0"/>
  </r>
  <r>
    <x v="26"/>
    <s v="Emitida"/>
    <d v="2018-04-04T00:00:00"/>
    <d v="2018-04-04T00:00:00"/>
    <d v="2018-04-12T00:00:00"/>
    <m/>
    <n v="9702.11"/>
    <x v="613"/>
    <x v="0"/>
  </r>
  <r>
    <x v="6"/>
    <s v="Emitida"/>
    <d v="2018-04-04T00:00:00"/>
    <d v="2018-04-04T00:00:00"/>
    <d v="2018-05-04T00:00:00"/>
    <m/>
    <n v="46904"/>
    <x v="46"/>
    <x v="0"/>
  </r>
  <r>
    <x v="25"/>
    <s v="Emitida"/>
    <d v="2018-04-02T00:00:00"/>
    <d v="2018-04-02T00:00:00"/>
    <d v="2018-04-17T00:00:00"/>
    <m/>
    <n v="17376"/>
    <x v="614"/>
    <x v="0"/>
  </r>
  <r>
    <x v="5"/>
    <s v="Emitida"/>
    <d v="2018-03-28T00:00:00"/>
    <d v="2018-03-28T00:00:00"/>
    <d v="2018-05-12T00:00:00"/>
    <m/>
    <n v="25202"/>
    <x v="442"/>
    <x v="0"/>
  </r>
  <r>
    <x v="26"/>
    <s v="Emitida"/>
    <d v="2018-03-28T00:00:00"/>
    <d v="2018-03-28T00:00:00"/>
    <d v="2018-04-05T00:00:00"/>
    <m/>
    <n v="3119.22"/>
    <x v="615"/>
    <x v="0"/>
  </r>
  <r>
    <x v="5"/>
    <s v="Emitida"/>
    <d v="2018-03-27T00:00:00"/>
    <d v="2018-03-27T00:00:00"/>
    <d v="2018-05-11T00:00:00"/>
    <m/>
    <n v="25202"/>
    <x v="442"/>
    <x v="0"/>
  </r>
  <r>
    <x v="6"/>
    <s v="Emitida"/>
    <d v="2018-03-27T00:00:00"/>
    <d v="2018-03-27T00:00:00"/>
    <d v="2018-04-26T00:00:00"/>
    <m/>
    <n v="13672"/>
    <x v="616"/>
    <x v="0"/>
  </r>
  <r>
    <x v="26"/>
    <s v="Emitida"/>
    <d v="2018-03-27T00:00:00"/>
    <d v="2018-03-27T00:00:00"/>
    <d v="2018-04-04T00:00:00"/>
    <m/>
    <n v="23716.1"/>
    <x v="617"/>
    <x v="0"/>
  </r>
  <r>
    <x v="7"/>
    <s v="Emitida"/>
    <d v="2018-03-26T00:00:00"/>
    <d v="2018-03-26T00:00:00"/>
    <d v="2018-04-10T00:00:00"/>
    <m/>
    <n v="220"/>
    <x v="618"/>
    <x v="0"/>
  </r>
  <r>
    <x v="38"/>
    <s v="Emitida"/>
    <d v="2018-03-26T00:00:00"/>
    <d v="2018-03-26T00:00:00"/>
    <d v="2018-03-26T00:00:00"/>
    <m/>
    <n v="5256.84"/>
    <x v="619"/>
    <x v="0"/>
  </r>
  <r>
    <x v="13"/>
    <s v="Emitida"/>
    <d v="2018-03-26T00:00:00"/>
    <d v="2018-03-26T00:00:00"/>
    <d v="2018-04-25T00:00:00"/>
    <m/>
    <n v="5620"/>
    <x v="620"/>
    <x v="0"/>
  </r>
  <r>
    <x v="6"/>
    <s v="Emitida"/>
    <d v="2018-03-23T00:00:00"/>
    <d v="2018-03-23T00:00:00"/>
    <d v="2018-04-22T00:00:00"/>
    <m/>
    <n v="7296"/>
    <x v="621"/>
    <x v="0"/>
  </r>
  <r>
    <x v="36"/>
    <s v="Emitida"/>
    <d v="2018-03-22T00:00:00"/>
    <d v="2018-03-22T00:00:00"/>
    <d v="2018-03-29T00:00:00"/>
    <m/>
    <n v="798"/>
    <x v="622"/>
    <x v="1"/>
  </r>
  <r>
    <x v="26"/>
    <s v="Emitida"/>
    <d v="2018-03-22T00:00:00"/>
    <d v="2018-03-22T00:00:00"/>
    <d v="2018-03-30T00:00:00"/>
    <m/>
    <n v="35435.5"/>
    <x v="623"/>
    <x v="0"/>
  </r>
  <r>
    <x v="10"/>
    <s v="Emitida"/>
    <d v="2018-03-21T00:00:00"/>
    <d v="2018-03-21T00:00:00"/>
    <d v="2018-04-20T00:00:00"/>
    <m/>
    <n v="262941"/>
    <x v="624"/>
    <x v="0"/>
  </r>
  <r>
    <x v="10"/>
    <s v="Emitida"/>
    <d v="2018-03-21T00:00:00"/>
    <d v="2018-03-21T00:00:00"/>
    <d v="2018-04-20T00:00:00"/>
    <m/>
    <n v="7440"/>
    <x v="625"/>
    <x v="0"/>
  </r>
  <r>
    <x v="25"/>
    <s v="Emitida"/>
    <d v="2018-03-21T00:00:00"/>
    <d v="2018-03-21T00:00:00"/>
    <d v="2018-04-05T00:00:00"/>
    <m/>
    <n v="18079"/>
    <x v="626"/>
    <x v="0"/>
  </r>
  <r>
    <x v="8"/>
    <s v="Emitida"/>
    <d v="2018-03-21T00:00:00"/>
    <d v="2018-03-21T00:00:00"/>
    <d v="2018-05-05T00:00:00"/>
    <m/>
    <n v="20032"/>
    <x v="627"/>
    <x v="0"/>
  </r>
  <r>
    <x v="26"/>
    <s v="Emitida"/>
    <d v="2018-03-21T00:00:00"/>
    <d v="2018-03-21T00:00:00"/>
    <d v="2018-03-29T00:00:00"/>
    <m/>
    <n v="2471.04"/>
    <x v="628"/>
    <x v="0"/>
  </r>
  <r>
    <x v="26"/>
    <s v="Emitida"/>
    <d v="2018-03-20T00:00:00"/>
    <d v="2018-03-20T00:00:00"/>
    <d v="2018-03-28T00:00:00"/>
    <m/>
    <n v="1234.2"/>
    <x v="629"/>
    <x v="0"/>
  </r>
  <r>
    <x v="7"/>
    <s v="Emitida"/>
    <d v="2018-03-20T00:00:00"/>
    <d v="2018-03-20T00:00:00"/>
    <d v="2018-04-04T00:00:00"/>
    <m/>
    <n v="5495"/>
    <x v="630"/>
    <x v="0"/>
  </r>
  <r>
    <x v="26"/>
    <s v="Emitida"/>
    <d v="2018-03-16T00:00:00"/>
    <d v="2018-03-16T00:00:00"/>
    <d v="2018-03-24T00:00:00"/>
    <m/>
    <n v="557.70000000000005"/>
    <x v="631"/>
    <x v="0"/>
  </r>
  <r>
    <x v="6"/>
    <s v="Emitida"/>
    <d v="2018-03-14T00:00:00"/>
    <d v="2018-03-14T00:00:00"/>
    <d v="2018-04-13T00:00:00"/>
    <m/>
    <n v="3461"/>
    <x v="632"/>
    <x v="0"/>
  </r>
  <r>
    <x v="5"/>
    <s v="Emitida"/>
    <d v="2018-03-13T00:00:00"/>
    <d v="2018-03-13T00:00:00"/>
    <d v="2018-04-27T00:00:00"/>
    <m/>
    <n v="25202"/>
    <x v="442"/>
    <x v="0"/>
  </r>
  <r>
    <x v="6"/>
    <s v="Emitida"/>
    <d v="2018-03-12T00:00:00"/>
    <d v="2018-03-12T00:00:00"/>
    <d v="2018-04-11T00:00:00"/>
    <m/>
    <n v="10887"/>
    <x v="633"/>
    <x v="0"/>
  </r>
  <r>
    <x v="5"/>
    <s v="Emitida"/>
    <d v="2018-03-12T00:00:00"/>
    <d v="2018-03-12T00:00:00"/>
    <d v="2018-04-26T00:00:00"/>
    <m/>
    <n v="25202"/>
    <x v="442"/>
    <x v="0"/>
  </r>
  <r>
    <x v="6"/>
    <s v="Emitida"/>
    <d v="2018-03-12T00:00:00"/>
    <d v="2018-03-12T00:00:00"/>
    <d v="2018-04-11T00:00:00"/>
    <m/>
    <n v="24004"/>
    <x v="634"/>
    <x v="0"/>
  </r>
  <r>
    <x v="0"/>
    <s v="Emitida"/>
    <d v="2018-03-09T00:00:00"/>
    <d v="2018-03-09T00:00:00"/>
    <d v="2018-03-16T00:00:00"/>
    <m/>
    <n v="1975"/>
    <x v="635"/>
    <x v="0"/>
  </r>
  <r>
    <x v="7"/>
    <s v="Emitida"/>
    <d v="2018-03-08T00:00:00"/>
    <d v="2018-03-08T00:00:00"/>
    <d v="2018-03-23T00:00:00"/>
    <m/>
    <n v="7264"/>
    <x v="636"/>
    <x v="0"/>
  </r>
  <r>
    <x v="6"/>
    <s v="Emitida"/>
    <d v="2018-03-08T00:00:00"/>
    <d v="2018-03-08T00:00:00"/>
    <d v="2018-04-07T00:00:00"/>
    <m/>
    <n v="24004"/>
    <x v="634"/>
    <x v="0"/>
  </r>
  <r>
    <x v="8"/>
    <s v="Emitida"/>
    <d v="2018-03-07T00:00:00"/>
    <d v="2018-03-07T00:00:00"/>
    <d v="2018-04-21T00:00:00"/>
    <m/>
    <n v="39094"/>
    <x v="637"/>
    <x v="0"/>
  </r>
  <r>
    <x v="26"/>
    <s v="Emitida"/>
    <d v="2018-03-05T00:00:00"/>
    <d v="2018-03-05T00:00:00"/>
    <d v="2018-03-13T00:00:00"/>
    <m/>
    <n v="3268.25"/>
    <x v="638"/>
    <x v="0"/>
  </r>
  <r>
    <x v="26"/>
    <s v="Emitida"/>
    <d v="2018-03-05T00:00:00"/>
    <d v="2018-03-05T00:00:00"/>
    <d v="2018-03-13T00:00:00"/>
    <m/>
    <n v="5060.8900000000003"/>
    <x v="639"/>
    <x v="0"/>
  </r>
  <r>
    <x v="5"/>
    <s v="Emitida"/>
    <d v="2018-03-02T00:00:00"/>
    <d v="2018-03-02T00:00:00"/>
    <d v="2018-04-16T00:00:00"/>
    <m/>
    <n v="25202"/>
    <x v="442"/>
    <x v="0"/>
  </r>
  <r>
    <x v="7"/>
    <s v="Emitida"/>
    <d v="2018-03-02T00:00:00"/>
    <d v="2018-04-05T00:00:00"/>
    <d v="2018-03-17T00:00:00"/>
    <m/>
    <n v="29480"/>
    <x v="102"/>
    <x v="0"/>
  </r>
  <r>
    <x v="26"/>
    <s v="Emitida"/>
    <d v="2018-03-02T00:00:00"/>
    <d v="2018-03-02T00:00:00"/>
    <d v="2018-03-10T00:00:00"/>
    <m/>
    <n v="9789.15"/>
    <x v="640"/>
    <x v="0"/>
  </r>
  <r>
    <x v="26"/>
    <s v="Emitida"/>
    <d v="2018-03-02T00:00:00"/>
    <d v="2018-03-02T00:00:00"/>
    <d v="2018-03-10T00:00:00"/>
    <m/>
    <n v="83158.899999999994"/>
    <x v="641"/>
    <x v="0"/>
  </r>
  <r>
    <x v="5"/>
    <s v="Emitida"/>
    <d v="2018-03-01T00:00:00"/>
    <d v="2018-03-01T00:00:00"/>
    <d v="2018-04-15T00:00:00"/>
    <m/>
    <n v="25202"/>
    <x v="442"/>
    <x v="0"/>
  </r>
  <r>
    <x v="2"/>
    <s v="Emitida"/>
    <d v="2018-03-01T00:00:00"/>
    <d v="2018-03-01T00:00:00"/>
    <d v="2018-03-31T00:00:00"/>
    <m/>
    <n v="13584"/>
    <x v="642"/>
    <x v="0"/>
  </r>
  <r>
    <x v="26"/>
    <s v="Emitida"/>
    <d v="2018-03-01T00:00:00"/>
    <d v="2018-03-01T00:00:00"/>
    <d v="2018-03-09T00:00:00"/>
    <m/>
    <n v="10323"/>
    <x v="643"/>
    <x v="0"/>
  </r>
  <r>
    <x v="26"/>
    <s v="Emitida"/>
    <d v="2018-03-01T00:00:00"/>
    <d v="2018-03-01T00:00:00"/>
    <d v="2018-03-09T00:00:00"/>
    <m/>
    <n v="7066.92"/>
    <x v="644"/>
    <x v="0"/>
  </r>
  <r>
    <x v="26"/>
    <s v="Emitida"/>
    <d v="2018-03-01T00:00:00"/>
    <d v="2018-03-01T00:00:00"/>
    <d v="2018-03-09T00:00:00"/>
    <m/>
    <n v="8298.23"/>
    <x v="645"/>
    <x v="0"/>
  </r>
  <r>
    <x v="26"/>
    <s v="Emitida"/>
    <d v="2018-03-01T00:00:00"/>
    <d v="2018-03-01T00:00:00"/>
    <d v="2018-03-09T00:00:00"/>
    <m/>
    <n v="22202.400000000001"/>
    <x v="646"/>
    <x v="0"/>
  </r>
  <r>
    <x v="26"/>
    <s v="Emitida"/>
    <d v="2018-02-28T00:00:00"/>
    <d v="2018-02-28T00:00:00"/>
    <d v="2018-03-08T00:00:00"/>
    <m/>
    <n v="12927.4"/>
    <x v="647"/>
    <x v="0"/>
  </r>
  <r>
    <x v="25"/>
    <s v="Emitida"/>
    <d v="2018-02-28T00:00:00"/>
    <d v="2018-02-28T00:00:00"/>
    <d v="2018-03-15T00:00:00"/>
    <m/>
    <n v="9100"/>
    <x v="648"/>
    <x v="0"/>
  </r>
  <r>
    <x v="25"/>
    <s v="Emitida"/>
    <d v="2018-02-28T00:00:00"/>
    <d v="2018-02-28T00:00:00"/>
    <d v="2018-03-15T00:00:00"/>
    <m/>
    <n v="34800"/>
    <x v="649"/>
    <x v="0"/>
  </r>
  <r>
    <x v="5"/>
    <s v="Emitida"/>
    <d v="2018-02-28T00:00:00"/>
    <d v="2018-02-28T00:00:00"/>
    <d v="2018-04-14T00:00:00"/>
    <m/>
    <n v="25202"/>
    <x v="442"/>
    <x v="0"/>
  </r>
  <r>
    <x v="26"/>
    <s v="Emitida"/>
    <d v="2018-02-28T00:00:00"/>
    <d v="2018-02-28T00:00:00"/>
    <d v="2018-03-08T00:00:00"/>
    <m/>
    <n v="4066.63"/>
    <x v="650"/>
    <x v="0"/>
  </r>
  <r>
    <x v="26"/>
    <s v="Emitida"/>
    <d v="2018-02-26T00:00:00"/>
    <d v="2018-02-26T00:00:00"/>
    <d v="2018-03-06T00:00:00"/>
    <m/>
    <n v="12750"/>
    <x v="651"/>
    <x v="0"/>
  </r>
  <r>
    <x v="6"/>
    <s v="Emitida"/>
    <d v="2018-02-25T00:00:00"/>
    <d v="2018-02-25T00:00:00"/>
    <d v="2018-03-27T00:00:00"/>
    <m/>
    <n v="16532"/>
    <x v="284"/>
    <x v="0"/>
  </r>
  <r>
    <x v="5"/>
    <s v="Emitida"/>
    <d v="2018-02-23T00:00:00"/>
    <d v="2018-02-23T00:00:00"/>
    <d v="2018-04-09T00:00:00"/>
    <m/>
    <n v="25202"/>
    <x v="442"/>
    <x v="0"/>
  </r>
  <r>
    <x v="5"/>
    <s v="Emitida"/>
    <d v="2018-02-23T00:00:00"/>
    <d v="2018-02-23T00:00:00"/>
    <d v="2018-04-09T00:00:00"/>
    <m/>
    <n v="25202"/>
    <x v="442"/>
    <x v="0"/>
  </r>
  <r>
    <x v="26"/>
    <s v="Emitida"/>
    <d v="2018-02-23T00:00:00"/>
    <d v="2018-02-23T00:00:00"/>
    <d v="2018-03-03T00:00:00"/>
    <m/>
    <n v="16809.599999999999"/>
    <x v="652"/>
    <x v="0"/>
  </r>
  <r>
    <x v="7"/>
    <s v="Emitida"/>
    <d v="2018-02-22T00:00:00"/>
    <d v="2018-02-22T00:00:00"/>
    <d v="2018-03-09T00:00:00"/>
    <m/>
    <n v="22577"/>
    <x v="610"/>
    <x v="0"/>
  </r>
  <r>
    <x v="7"/>
    <s v="Emitida"/>
    <d v="2018-02-20T00:00:00"/>
    <d v="2018-02-20T00:00:00"/>
    <d v="2018-03-07T00:00:00"/>
    <m/>
    <n v="29480"/>
    <x v="102"/>
    <x v="0"/>
  </r>
  <r>
    <x v="25"/>
    <s v="Emitida"/>
    <d v="2018-02-20T00:00:00"/>
    <d v="2018-02-20T00:00:00"/>
    <d v="2018-03-07T00:00:00"/>
    <m/>
    <n v="34800"/>
    <x v="649"/>
    <x v="0"/>
  </r>
  <r>
    <x v="25"/>
    <s v="Emitida"/>
    <d v="2018-02-19T00:00:00"/>
    <d v="2018-02-19T00:00:00"/>
    <d v="2018-03-06T00:00:00"/>
    <m/>
    <n v="9100"/>
    <x v="648"/>
    <x v="0"/>
  </r>
  <r>
    <x v="26"/>
    <s v="Emitida"/>
    <d v="2018-02-15T00:00:00"/>
    <d v="2018-02-15T00:00:00"/>
    <d v="2018-02-23T00:00:00"/>
    <m/>
    <n v="54559.199999999997"/>
    <x v="653"/>
    <x v="0"/>
  </r>
  <r>
    <x v="26"/>
    <s v="Emitida"/>
    <d v="2018-02-06T00:00:00"/>
    <d v="2018-02-06T00:00:00"/>
    <d v="2018-02-14T00:00:00"/>
    <m/>
    <n v="47373.7"/>
    <x v="654"/>
    <x v="0"/>
  </r>
  <r>
    <x v="14"/>
    <s v="Emitida"/>
    <d v="2018-02-02T00:00:00"/>
    <d v="2018-02-02T00:00:00"/>
    <d v="2018-02-09T00:00:00"/>
    <m/>
    <n v="11631.2"/>
    <x v="655"/>
    <x v="0"/>
  </r>
  <r>
    <x v="25"/>
    <s v="Emitida"/>
    <d v="2018-02-02T00:00:00"/>
    <d v="2018-02-02T00:00:00"/>
    <d v="2018-02-17T00:00:00"/>
    <m/>
    <n v="38572"/>
    <x v="656"/>
    <x v="0"/>
  </r>
  <r>
    <x v="26"/>
    <s v="Emitida"/>
    <d v="2018-01-31T00:00:00"/>
    <d v="2018-01-31T00:00:00"/>
    <d v="2018-02-08T00:00:00"/>
    <m/>
    <n v="41072"/>
    <x v="657"/>
    <x v="0"/>
  </r>
  <r>
    <x v="26"/>
    <s v="Emitida"/>
    <d v="2018-01-31T00:00:00"/>
    <d v="2018-01-31T00:00:00"/>
    <d v="2018-02-08T00:00:00"/>
    <m/>
    <n v="23461.200000000001"/>
    <x v="658"/>
    <x v="0"/>
  </r>
  <r>
    <x v="6"/>
    <s v="Emitida"/>
    <d v="2018-01-30T00:00:00"/>
    <d v="2018-01-30T00:00:00"/>
    <d v="2018-03-01T00:00:00"/>
    <m/>
    <n v="7722"/>
    <x v="659"/>
    <x v="0"/>
  </r>
  <r>
    <x v="0"/>
    <s v="Emitida"/>
    <d v="2018-01-30T00:00:00"/>
    <d v="2018-01-30T00:00:00"/>
    <d v="2018-02-06T00:00:00"/>
    <m/>
    <n v="2203"/>
    <x v="660"/>
    <x v="0"/>
  </r>
  <r>
    <x v="10"/>
    <s v="Emitida"/>
    <d v="2018-01-30T00:00:00"/>
    <d v="2018-01-30T00:00:00"/>
    <d v="2018-03-01T00:00:00"/>
    <m/>
    <n v="63444.4"/>
    <x v="661"/>
    <x v="0"/>
  </r>
  <r>
    <x v="10"/>
    <s v="Emitida"/>
    <d v="2018-01-30T00:00:00"/>
    <d v="2018-01-30T00:00:00"/>
    <d v="2018-03-01T00:00:00"/>
    <m/>
    <n v="2320"/>
    <x v="662"/>
    <x v="0"/>
  </r>
  <r>
    <x v="8"/>
    <s v="Emitida"/>
    <d v="2018-01-29T00:00:00"/>
    <d v="2018-01-29T00:00:00"/>
    <d v="2018-03-15T00:00:00"/>
    <m/>
    <n v="50068"/>
    <x v="663"/>
    <x v="0"/>
  </r>
  <r>
    <x v="25"/>
    <s v="Emitida"/>
    <d v="2018-01-25T00:00:00"/>
    <d v="2018-01-25T00:00:00"/>
    <d v="2018-02-09T00:00:00"/>
    <m/>
    <n v="38572"/>
    <x v="656"/>
    <x v="0"/>
  </r>
  <r>
    <x v="25"/>
    <s v="Emitida"/>
    <d v="2018-01-25T00:00:00"/>
    <d v="2018-01-25T00:00:00"/>
    <d v="2018-02-09T00:00:00"/>
    <m/>
    <n v="9100"/>
    <x v="648"/>
    <x v="0"/>
  </r>
  <r>
    <x v="6"/>
    <s v="Emitida"/>
    <d v="2018-01-24T00:00:00"/>
    <d v="2018-01-23T00:00:00"/>
    <d v="2018-02-23T00:00:00"/>
    <m/>
    <n v="16304"/>
    <x v="664"/>
    <x v="0"/>
  </r>
  <r>
    <x v="39"/>
    <s v="Emitida"/>
    <d v="2018-01-23T00:00:00"/>
    <d v="2018-01-22T00:00:00"/>
    <d v="2018-01-31T00:00:00"/>
    <m/>
    <n v="2900"/>
    <x v="665"/>
    <x v="0"/>
  </r>
  <r>
    <x v="2"/>
    <s v="Emitida"/>
    <d v="2018-01-23T00:00:00"/>
    <d v="2018-01-23T00:00:00"/>
    <d v="2018-02-22T00:00:00"/>
    <m/>
    <n v="650"/>
    <x v="666"/>
    <x v="0"/>
  </r>
  <r>
    <x v="6"/>
    <s v="Emitida"/>
    <d v="2018-01-22T00:00:00"/>
    <d v="2018-01-22T00:00:00"/>
    <d v="2018-02-21T00:00:00"/>
    <m/>
    <n v="18238"/>
    <x v="667"/>
    <x v="0"/>
  </r>
  <r>
    <x v="2"/>
    <s v="Emitida"/>
    <d v="2018-01-22T00:00:00"/>
    <d v="2018-01-22T00:00:00"/>
    <d v="2018-02-21T00:00:00"/>
    <m/>
    <n v="9056"/>
    <x v="668"/>
    <x v="0"/>
  </r>
  <r>
    <x v="2"/>
    <s v="Emitida"/>
    <d v="2018-01-19T00:00:00"/>
    <d v="2018-01-19T00:00:00"/>
    <d v="2018-02-18T00:00:00"/>
    <m/>
    <n v="2247"/>
    <x v="669"/>
    <x v="0"/>
  </r>
  <r>
    <x v="25"/>
    <s v="Emitida"/>
    <d v="2018-01-18T00:00:00"/>
    <d v="2018-01-18T00:00:00"/>
    <d v="2018-02-02T00:00:00"/>
    <m/>
    <n v="504"/>
    <x v="670"/>
    <x v="0"/>
  </r>
  <r>
    <x v="2"/>
    <s v="Emitida"/>
    <d v="2018-01-17T00:00:00"/>
    <d v="2018-01-17T00:00:00"/>
    <d v="2018-02-16T00:00:00"/>
    <m/>
    <n v="2247"/>
    <x v="669"/>
    <x v="0"/>
  </r>
  <r>
    <x v="14"/>
    <s v="Emitida"/>
    <d v="2018-01-16T00:00:00"/>
    <d v="2018-01-16T00:00:00"/>
    <d v="2018-01-23T00:00:00"/>
    <m/>
    <n v="2208.64"/>
    <x v="671"/>
    <x v="0"/>
  </r>
  <r>
    <x v="6"/>
    <s v="Emitida"/>
    <d v="2018-01-16T00:00:00"/>
    <d v="2018-01-16T00:00:00"/>
    <d v="2018-02-15T00:00:00"/>
    <m/>
    <n v="34848"/>
    <x v="32"/>
    <x v="0"/>
  </r>
  <r>
    <x v="2"/>
    <s v="Emitida"/>
    <d v="2018-01-16T00:00:00"/>
    <d v="2018-01-16T00:00:00"/>
    <d v="2018-02-15T00:00:00"/>
    <m/>
    <n v="21040"/>
    <x v="672"/>
    <x v="0"/>
  </r>
  <r>
    <x v="6"/>
    <s v="Emitida"/>
    <d v="2018-01-15T00:00:00"/>
    <d v="2018-01-15T00:00:00"/>
    <d v="2018-02-14T00:00:00"/>
    <m/>
    <n v="29480"/>
    <x v="102"/>
    <x v="0"/>
  </r>
  <r>
    <x v="7"/>
    <s v="Emitida"/>
    <d v="2018-01-15T00:00:00"/>
    <d v="2018-01-15T00:00:00"/>
    <d v="2018-01-30T00:00:00"/>
    <m/>
    <n v="17520"/>
    <x v="673"/>
    <x v="0"/>
  </r>
  <r>
    <x v="6"/>
    <s v="Emitida"/>
    <d v="2018-01-12T00:00:00"/>
    <d v="2018-01-12T00:00:00"/>
    <d v="2018-02-11T00:00:00"/>
    <m/>
    <n v="28400"/>
    <x v="674"/>
    <x v="0"/>
  </r>
  <r>
    <x v="6"/>
    <s v="Emitida"/>
    <d v="2018-01-12T00:00:00"/>
    <d v="2018-01-12T00:00:00"/>
    <d v="2018-02-11T00:00:00"/>
    <m/>
    <n v="4632"/>
    <x v="675"/>
    <x v="0"/>
  </r>
  <r>
    <x v="6"/>
    <s v="Emitida"/>
    <d v="2018-01-09T00:00:00"/>
    <d v="2018-01-09T00:00:00"/>
    <d v="2018-02-08T00:00:00"/>
    <m/>
    <n v="2660"/>
    <x v="676"/>
    <x v="0"/>
  </r>
  <r>
    <x v="26"/>
    <s v="Emitida"/>
    <d v="2018-01-09T00:00:00"/>
    <d v="2018-01-09T00:00:00"/>
    <d v="2018-01-17T00:00:00"/>
    <m/>
    <n v="20683.599999999999"/>
    <x v="677"/>
    <x v="0"/>
  </r>
  <r>
    <x v="26"/>
    <s v="Emitida"/>
    <d v="2018-01-09T00:00:00"/>
    <d v="2018-01-09T00:00:00"/>
    <d v="2018-01-17T00:00:00"/>
    <m/>
    <n v="20683.599999999999"/>
    <x v="677"/>
    <x v="0"/>
  </r>
  <r>
    <x v="26"/>
    <s v="Emitida"/>
    <d v="2018-01-08T00:00:00"/>
    <d v="2018-01-08T00:00:00"/>
    <d v="2018-01-16T00:00:00"/>
    <m/>
    <n v="2581.4299999999998"/>
    <x v="678"/>
    <x v="0"/>
  </r>
  <r>
    <x v="26"/>
    <s v="Emitida"/>
    <d v="2018-01-08T00:00:00"/>
    <d v="2018-01-08T00:00:00"/>
    <d v="2018-01-16T00:00:00"/>
    <m/>
    <n v="53345.5"/>
    <x v="679"/>
    <x v="0"/>
  </r>
  <r>
    <x v="26"/>
    <s v="Emitida"/>
    <d v="2018-01-08T00:00:00"/>
    <d v="2018-01-08T00:00:00"/>
    <d v="2018-01-16T00:00:00"/>
    <m/>
    <n v="25814.3"/>
    <x v="680"/>
    <x v="0"/>
  </r>
  <r>
    <x v="25"/>
    <s v="Emitida"/>
    <d v="2018-01-04T00:00:00"/>
    <d v="2018-01-04T00:00:00"/>
    <d v="2018-01-19T00:00:00"/>
    <m/>
    <n v="833"/>
    <x v="681"/>
    <x v="0"/>
  </r>
  <r>
    <x v="13"/>
    <s v="Emitida"/>
    <d v="2018-01-04T00:00:00"/>
    <d v="2018-01-04T00:00:00"/>
    <d v="2018-02-03T00:00:00"/>
    <m/>
    <n v="5620"/>
    <x v="620"/>
    <x v="0"/>
  </r>
  <r>
    <x v="26"/>
    <s v="Emitida"/>
    <d v="2018-01-04T00:00:00"/>
    <d v="2018-01-04T00:00:00"/>
    <d v="2018-01-12T00:00:00"/>
    <m/>
    <n v="3343.47"/>
    <x v="682"/>
    <x v="0"/>
  </r>
  <r>
    <x v="26"/>
    <s v="Emitida"/>
    <d v="2018-01-04T00:00:00"/>
    <d v="2018-01-04T00:00:00"/>
    <d v="2018-01-12T00:00:00"/>
    <m/>
    <n v="2340"/>
    <x v="191"/>
    <x v="0"/>
  </r>
  <r>
    <x v="26"/>
    <s v="Emitida"/>
    <d v="2018-01-04T00:00:00"/>
    <d v="2018-01-04T00:00:00"/>
    <d v="2018-01-12T00:00:00"/>
    <m/>
    <n v="1170"/>
    <x v="683"/>
    <x v="0"/>
  </r>
  <r>
    <x v="26"/>
    <s v="Emitida"/>
    <d v="2018-01-04T00:00:00"/>
    <d v="2018-01-04T00:00:00"/>
    <d v="2018-01-12T00:00:00"/>
    <m/>
    <n v="15656.5"/>
    <x v="684"/>
    <x v="0"/>
  </r>
  <r>
    <x v="26"/>
    <s v="Emitida"/>
    <d v="2018-01-04T00:00:00"/>
    <d v="2018-01-04T00:00:00"/>
    <d v="2018-01-12T00:00:00"/>
    <m/>
    <n v="18787.8"/>
    <x v="685"/>
    <x v="0"/>
  </r>
  <r>
    <x v="26"/>
    <s v="Emitida"/>
    <d v="2018-01-02T00:00:00"/>
    <d v="2018-01-02T00:00:00"/>
    <d v="2018-01-10T00:00:00"/>
    <m/>
    <n v="2648.52"/>
    <x v="686"/>
    <x v="0"/>
  </r>
  <r>
    <x v="26"/>
    <s v="Emitida"/>
    <d v="2018-01-02T00:00:00"/>
    <d v="2018-01-02T00:00:00"/>
    <d v="2018-01-10T00:00:00"/>
    <m/>
    <n v="2208.31"/>
    <x v="687"/>
    <x v="0"/>
  </r>
  <r>
    <x v="26"/>
    <s v="Emitida"/>
    <d v="2018-01-02T00:00:00"/>
    <d v="2018-01-02T00:00:00"/>
    <d v="2018-01-10T00:00:00"/>
    <m/>
    <n v="27695"/>
    <x v="688"/>
    <x v="0"/>
  </r>
  <r>
    <x v="26"/>
    <s v="Emitida"/>
    <d v="2017-12-21T00:00:00"/>
    <d v="2017-12-21T00:00:00"/>
    <d v="2017-12-29T00:00:00"/>
    <m/>
    <n v="6650.87"/>
    <x v="689"/>
    <x v="0"/>
  </r>
  <r>
    <x v="26"/>
    <s v="Emitida"/>
    <d v="2017-12-21T00:00:00"/>
    <d v="2017-12-21T00:00:00"/>
    <d v="2017-12-29T00:00:00"/>
    <m/>
    <n v="49881.5"/>
    <x v="690"/>
    <x v="0"/>
  </r>
  <r>
    <x v="2"/>
    <s v="Emitida"/>
    <d v="2017-12-21T00:00:00"/>
    <d v="2017-12-21T00:00:00"/>
    <d v="2018-01-20T00:00:00"/>
    <m/>
    <n v="3590"/>
    <x v="691"/>
    <x v="0"/>
  </r>
  <r>
    <x v="25"/>
    <s v="Emitida"/>
    <d v="2017-12-20T00:00:00"/>
    <d v="2017-12-20T00:00:00"/>
    <d v="2018-01-04T00:00:00"/>
    <m/>
    <n v="38572"/>
    <x v="656"/>
    <x v="0"/>
  </r>
  <r>
    <x v="13"/>
    <s v="Emitida"/>
    <d v="2017-12-20T00:00:00"/>
    <d v="2017-12-20T00:00:00"/>
    <d v="2018-01-19T00:00:00"/>
    <m/>
    <n v="43965"/>
    <x v="692"/>
    <x v="0"/>
  </r>
  <r>
    <x v="26"/>
    <s v="Emitida"/>
    <d v="2017-12-19T00:00:00"/>
    <d v="2017-12-19T00:00:00"/>
    <d v="2017-12-27T00:00:00"/>
    <m/>
    <n v="7420.56"/>
    <x v="693"/>
    <x v="0"/>
  </r>
  <r>
    <x v="25"/>
    <s v="Emitida"/>
    <d v="2017-12-19T00:00:00"/>
    <d v="2017-12-19T00:00:00"/>
    <d v="2018-01-03T00:00:00"/>
    <m/>
    <n v="18200"/>
    <x v="694"/>
    <x v="0"/>
  </r>
  <r>
    <x v="27"/>
    <s v="Emitida"/>
    <d v="2017-12-18T00:00:00"/>
    <d v="2017-12-18T00:00:00"/>
    <d v="2017-12-18T00:00:00"/>
    <m/>
    <n v="3360"/>
    <x v="695"/>
    <x v="0"/>
  </r>
  <r>
    <x v="25"/>
    <s v="Emitida"/>
    <d v="2017-12-15T00:00:00"/>
    <d v="2017-12-15T00:00:00"/>
    <d v="2017-12-30T00:00:00"/>
    <m/>
    <n v="38572"/>
    <x v="656"/>
    <x v="0"/>
  </r>
  <r>
    <x v="25"/>
    <s v="Emitida"/>
    <d v="2017-12-15T00:00:00"/>
    <d v="2017-12-15T00:00:00"/>
    <d v="2017-12-30T00:00:00"/>
    <m/>
    <n v="36158"/>
    <x v="696"/>
    <x v="0"/>
  </r>
  <r>
    <x v="0"/>
    <s v="Emitida"/>
    <d v="2017-12-15T00:00:00"/>
    <d v="2017-12-15T00:00:00"/>
    <d v="2017-12-22T00:00:00"/>
    <m/>
    <n v="2608"/>
    <x v="697"/>
    <x v="0"/>
  </r>
  <r>
    <x v="6"/>
    <s v="Emitida"/>
    <d v="2017-12-14T00:00:00"/>
    <d v="2017-12-14T00:00:00"/>
    <d v="2018-01-13T00:00:00"/>
    <m/>
    <n v="17640"/>
    <x v="698"/>
    <x v="0"/>
  </r>
  <r>
    <x v="26"/>
    <s v="Emitida"/>
    <d v="2017-12-14T00:00:00"/>
    <d v="2017-12-14T00:00:00"/>
    <d v="2017-12-22T00:00:00"/>
    <m/>
    <n v="10221"/>
    <x v="699"/>
    <x v="0"/>
  </r>
  <r>
    <x v="24"/>
    <s v="Emitida"/>
    <d v="2017-12-13T00:00:00"/>
    <d v="2017-12-13T00:00:00"/>
    <d v="2017-12-21T00:00:00"/>
    <m/>
    <n v="9901.86"/>
    <x v="700"/>
    <x v="0"/>
  </r>
  <r>
    <x v="6"/>
    <s v="Emitida"/>
    <d v="2017-12-12T00:00:00"/>
    <d v="2017-12-12T00:00:00"/>
    <d v="2018-01-11T00:00:00"/>
    <m/>
    <n v="2660"/>
    <x v="676"/>
    <x v="0"/>
  </r>
  <r>
    <x v="6"/>
    <s v="Emitida"/>
    <d v="2017-12-11T00:00:00"/>
    <d v="2017-12-11T00:00:00"/>
    <d v="2018-01-10T00:00:00"/>
    <m/>
    <n v="147"/>
    <x v="701"/>
    <x v="0"/>
  </r>
  <r>
    <x v="26"/>
    <s v="Emitida"/>
    <d v="2017-12-11T00:00:00"/>
    <d v="2017-12-11T00:00:00"/>
    <d v="2017-12-19T00:00:00"/>
    <m/>
    <n v="30877.1"/>
    <x v="702"/>
    <x v="2"/>
  </r>
  <r>
    <x v="8"/>
    <s v="Emitida"/>
    <d v="2017-12-07T00:00:00"/>
    <d v="2017-12-07T00:00:00"/>
    <d v="2018-01-21T00:00:00"/>
    <m/>
    <n v="38698"/>
    <x v="703"/>
    <x v="2"/>
  </r>
  <r>
    <x v="6"/>
    <s v="Emitida"/>
    <d v="2017-12-01T00:00:00"/>
    <d v="2017-12-01T00:00:00"/>
    <d v="2017-12-31T00:00:00"/>
    <m/>
    <n v="16892"/>
    <x v="704"/>
    <x v="2"/>
  </r>
  <r>
    <x v="26"/>
    <s v="Emitida"/>
    <d v="2017-11-30T00:00:00"/>
    <d v="2017-11-30T00:00:00"/>
    <d v="2017-12-08T00:00:00"/>
    <m/>
    <n v="2251.34"/>
    <x v="705"/>
    <x v="2"/>
  </r>
  <r>
    <x v="26"/>
    <s v="Emitida"/>
    <d v="2017-11-30T00:00:00"/>
    <d v="2017-11-30T00:00:00"/>
    <d v="2017-12-08T00:00:00"/>
    <m/>
    <n v="43645.9"/>
    <x v="706"/>
    <x v="2"/>
  </r>
  <r>
    <x v="6"/>
    <s v="Emitida"/>
    <d v="2017-11-30T00:00:00"/>
    <d v="2017-11-30T00:00:00"/>
    <d v="2017-12-30T00:00:00"/>
    <m/>
    <n v="1824"/>
    <x v="707"/>
    <x v="2"/>
  </r>
  <r>
    <x v="6"/>
    <s v="Emitida"/>
    <d v="2017-11-30T00:00:00"/>
    <d v="2017-11-30T00:00:00"/>
    <d v="2017-12-30T00:00:00"/>
    <m/>
    <n v="16336"/>
    <x v="708"/>
    <x v="2"/>
  </r>
  <r>
    <x v="26"/>
    <s v="Emitida"/>
    <d v="2017-11-30T00:00:00"/>
    <d v="2017-11-30T00:00:00"/>
    <d v="2017-12-08T00:00:00"/>
    <m/>
    <n v="1385.7"/>
    <x v="709"/>
    <x v="2"/>
  </r>
  <r>
    <x v="6"/>
    <s v="Emitida"/>
    <d v="2017-11-30T00:00:00"/>
    <d v="2017-11-29T00:00:00"/>
    <d v="2017-12-30T00:00:00"/>
    <m/>
    <n v="5310"/>
    <x v="710"/>
    <x v="2"/>
  </r>
  <r>
    <x v="6"/>
    <s v="Emitida"/>
    <d v="2017-11-29T00:00:00"/>
    <d v="2017-11-29T00:00:00"/>
    <d v="2017-12-29T00:00:00"/>
    <m/>
    <n v="23650"/>
    <x v="711"/>
    <x v="2"/>
  </r>
  <r>
    <x v="6"/>
    <s v="Emitida"/>
    <d v="2017-11-29T00:00:00"/>
    <d v="2017-11-29T00:00:00"/>
    <d v="2017-12-29T00:00:00"/>
    <m/>
    <n v="6080"/>
    <x v="712"/>
    <x v="2"/>
  </r>
  <r>
    <x v="13"/>
    <s v="Emitida"/>
    <d v="2017-11-27T00:00:00"/>
    <d v="2017-11-27T00:00:00"/>
    <d v="2017-12-27T00:00:00"/>
    <m/>
    <n v="13471"/>
    <x v="713"/>
    <x v="2"/>
  </r>
  <r>
    <x v="6"/>
    <s v="Emitida"/>
    <d v="2017-11-27T00:00:00"/>
    <d v="2017-11-27T00:00:00"/>
    <d v="2017-12-27T00:00:00"/>
    <m/>
    <n v="16892"/>
    <x v="704"/>
    <x v="2"/>
  </r>
  <r>
    <x v="6"/>
    <s v="Emitida"/>
    <d v="2017-11-24T00:00:00"/>
    <d v="2017-11-24T00:00:00"/>
    <d v="2017-12-24T00:00:00"/>
    <m/>
    <n v="13434"/>
    <x v="714"/>
    <x v="2"/>
  </r>
  <r>
    <x v="26"/>
    <s v="Emitida"/>
    <d v="2017-11-23T00:00:00"/>
    <d v="2017-11-23T00:00:00"/>
    <d v="2017-12-01T00:00:00"/>
    <m/>
    <n v="15110.5"/>
    <x v="715"/>
    <x v="2"/>
  </r>
  <r>
    <x v="31"/>
    <s v="Emitida"/>
    <d v="2017-11-23T00:00:00"/>
    <d v="2017-11-23T00:00:00"/>
    <d v="2017-11-30T00:00:00"/>
    <m/>
    <n v="1129.2"/>
    <x v="716"/>
    <x v="2"/>
  </r>
  <r>
    <x v="26"/>
    <s v="Emitida"/>
    <d v="2017-11-22T00:00:00"/>
    <d v="2017-11-22T00:00:00"/>
    <d v="2017-11-30T00:00:00"/>
    <m/>
    <n v="48515"/>
    <x v="717"/>
    <x v="2"/>
  </r>
  <r>
    <x v="26"/>
    <s v="Emitida"/>
    <d v="2017-11-21T00:00:00"/>
    <d v="2017-11-21T00:00:00"/>
    <d v="2017-11-29T00:00:00"/>
    <m/>
    <n v="7129.85"/>
    <x v="718"/>
    <x v="2"/>
  </r>
  <r>
    <x v="6"/>
    <s v="Emitida"/>
    <d v="2017-11-21T00:00:00"/>
    <d v="2017-11-21T00:00:00"/>
    <d v="2017-12-21T00:00:00"/>
    <m/>
    <n v="14740"/>
    <x v="130"/>
    <x v="2"/>
  </r>
  <r>
    <x v="10"/>
    <s v="Emitida"/>
    <d v="2017-11-21T00:00:00"/>
    <d v="2017-11-21T00:00:00"/>
    <d v="2017-12-21T00:00:00"/>
    <m/>
    <n v="156688"/>
    <x v="719"/>
    <x v="2"/>
  </r>
  <r>
    <x v="10"/>
    <s v="Emitida"/>
    <d v="2017-11-21T00:00:00"/>
    <d v="2017-11-21T00:00:00"/>
    <d v="2017-12-21T00:00:00"/>
    <m/>
    <n v="4720"/>
    <x v="720"/>
    <x v="2"/>
  </r>
  <r>
    <x v="31"/>
    <s v="Emitida"/>
    <d v="2017-11-21T00:00:00"/>
    <d v="2017-11-21T00:00:00"/>
    <d v="2017-11-28T00:00:00"/>
    <m/>
    <n v="30553.7"/>
    <x v="721"/>
    <x v="2"/>
  </r>
  <r>
    <x v="26"/>
    <s v="Emitida"/>
    <d v="2017-11-21T00:00:00"/>
    <d v="2017-11-21T00:00:00"/>
    <d v="2017-11-29T00:00:00"/>
    <m/>
    <n v="1425.97"/>
    <x v="722"/>
    <x v="2"/>
  </r>
  <r>
    <x v="26"/>
    <s v="Emitida"/>
    <d v="2017-11-17T00:00:00"/>
    <d v="2017-11-17T00:00:00"/>
    <d v="2017-11-25T00:00:00"/>
    <m/>
    <n v="43320.7"/>
    <x v="723"/>
    <x v="2"/>
  </r>
  <r>
    <x v="2"/>
    <s v="Emitida"/>
    <d v="2017-11-13T00:00:00"/>
    <d v="2017-11-13T00:00:00"/>
    <d v="2017-12-13T00:00:00"/>
    <m/>
    <n v="14090"/>
    <x v="724"/>
    <x v="2"/>
  </r>
  <r>
    <x v="2"/>
    <s v="Emitida"/>
    <d v="2017-11-13T00:00:00"/>
    <d v="2017-11-13T00:00:00"/>
    <d v="2017-12-13T00:00:00"/>
    <m/>
    <n v="19002"/>
    <x v="725"/>
    <x v="2"/>
  </r>
  <r>
    <x v="13"/>
    <s v="Emitida"/>
    <d v="2017-11-09T00:00:00"/>
    <d v="2017-11-09T00:00:00"/>
    <d v="2017-12-09T00:00:00"/>
    <m/>
    <n v="1057"/>
    <x v="726"/>
    <x v="2"/>
  </r>
  <r>
    <x v="26"/>
    <s v="Emitida"/>
    <d v="2017-11-09T00:00:00"/>
    <d v="2017-11-09T00:00:00"/>
    <d v="2017-11-17T00:00:00"/>
    <m/>
    <n v="8498.89"/>
    <x v="727"/>
    <x v="2"/>
  </r>
  <r>
    <x v="26"/>
    <s v="Emitida"/>
    <d v="2017-11-07T00:00:00"/>
    <d v="2017-11-07T00:00:00"/>
    <d v="2017-11-15T00:00:00"/>
    <m/>
    <n v="10395.9"/>
    <x v="728"/>
    <x v="2"/>
  </r>
  <r>
    <x v="26"/>
    <s v="Emitida"/>
    <d v="2017-11-06T00:00:00"/>
    <d v="2017-11-06T00:00:00"/>
    <d v="2017-11-14T00:00:00"/>
    <m/>
    <n v="7129.85"/>
    <x v="718"/>
    <x v="2"/>
  </r>
  <r>
    <x v="31"/>
    <s v="Emitida"/>
    <d v="2017-10-31T00:00:00"/>
    <d v="2017-10-31T00:00:00"/>
    <d v="2017-11-07T00:00:00"/>
    <m/>
    <n v="30448.5"/>
    <x v="729"/>
    <x v="2"/>
  </r>
  <r>
    <x v="26"/>
    <s v="Emitida"/>
    <d v="2017-10-26T00:00:00"/>
    <d v="2017-10-26T00:00:00"/>
    <d v="2017-11-03T00:00:00"/>
    <m/>
    <n v="4451.8999999999996"/>
    <x v="730"/>
    <x v="2"/>
  </r>
  <r>
    <x v="31"/>
    <s v="Emitida"/>
    <d v="2017-10-26T00:00:00"/>
    <d v="2017-10-26T00:00:00"/>
    <d v="2017-11-02T00:00:00"/>
    <m/>
    <n v="14325.6"/>
    <x v="731"/>
    <x v="2"/>
  </r>
  <r>
    <x v="13"/>
    <s v="Emitida"/>
    <d v="2017-10-25T00:00:00"/>
    <d v="2017-10-25T00:00:00"/>
    <d v="2017-11-24T00:00:00"/>
    <m/>
    <n v="10600"/>
    <x v="732"/>
    <x v="2"/>
  </r>
  <r>
    <x v="8"/>
    <s v="Emitida"/>
    <d v="2017-10-24T00:00:00"/>
    <d v="2017-10-24T00:00:00"/>
    <d v="2017-12-08T00:00:00"/>
    <m/>
    <n v="12216.6"/>
    <x v="733"/>
    <x v="2"/>
  </r>
  <r>
    <x v="13"/>
    <s v="Emitida"/>
    <d v="2017-10-24T00:00:00"/>
    <d v="2017-10-24T00:00:00"/>
    <d v="2017-11-23T00:00:00"/>
    <m/>
    <n v="10660"/>
    <x v="734"/>
    <x v="2"/>
  </r>
  <r>
    <x v="26"/>
    <s v="Emitida"/>
    <d v="2017-10-24T00:00:00"/>
    <d v="2017-10-24T00:00:00"/>
    <d v="2017-11-01T00:00:00"/>
    <m/>
    <n v="21196.7"/>
    <x v="735"/>
    <x v="2"/>
  </r>
  <r>
    <x v="26"/>
    <s v="Emitida"/>
    <d v="2017-10-24T00:00:00"/>
    <d v="2017-10-24T00:00:00"/>
    <d v="2017-11-01T00:00:00"/>
    <m/>
    <n v="2382.52"/>
    <x v="736"/>
    <x v="2"/>
  </r>
  <r>
    <x v="26"/>
    <s v="Emitida"/>
    <d v="2017-10-24T00:00:00"/>
    <d v="2017-10-24T00:00:00"/>
    <d v="2017-11-01T00:00:00"/>
    <m/>
    <n v="2446.2199999999998"/>
    <x v="737"/>
    <x v="2"/>
  </r>
  <r>
    <x v="26"/>
    <s v="Emitida"/>
    <d v="2017-10-24T00:00:00"/>
    <d v="2017-10-24T00:00:00"/>
    <d v="2017-11-01T00:00:00"/>
    <m/>
    <n v="3553.83"/>
    <x v="738"/>
    <x v="2"/>
  </r>
  <r>
    <x v="26"/>
    <s v="Emitida"/>
    <d v="2017-10-24T00:00:00"/>
    <d v="2017-10-24T00:00:00"/>
    <d v="2017-11-01T00:00:00"/>
    <m/>
    <n v="21387.200000000001"/>
    <x v="739"/>
    <x v="2"/>
  </r>
  <r>
    <x v="6"/>
    <s v="Emitida"/>
    <d v="2017-10-23T00:00:00"/>
    <d v="2017-10-23T00:00:00"/>
    <d v="2017-11-22T00:00:00"/>
    <m/>
    <n v="3794"/>
    <x v="740"/>
    <x v="2"/>
  </r>
  <r>
    <x v="6"/>
    <s v="Emitida"/>
    <d v="2017-10-20T00:00:00"/>
    <d v="2017-10-20T00:00:00"/>
    <d v="2017-11-19T00:00:00"/>
    <m/>
    <n v="40500"/>
    <x v="741"/>
    <x v="2"/>
  </r>
  <r>
    <x v="13"/>
    <s v="Emitida"/>
    <d v="2017-10-18T00:00:00"/>
    <d v="2017-10-18T00:00:00"/>
    <d v="2017-11-17T00:00:00"/>
    <m/>
    <n v="5808"/>
    <x v="742"/>
    <x v="2"/>
  </r>
  <r>
    <x v="6"/>
    <s v="Emitida"/>
    <d v="2017-10-17T00:00:00"/>
    <d v="2017-10-17T00:00:00"/>
    <d v="2017-11-16T00:00:00"/>
    <m/>
    <n v="14740"/>
    <x v="130"/>
    <x v="2"/>
  </r>
  <r>
    <x v="26"/>
    <s v="Emitida"/>
    <d v="2017-10-16T00:00:00"/>
    <d v="2017-10-16T00:00:00"/>
    <d v="2017-10-24T00:00:00"/>
    <m/>
    <n v="6955.08"/>
    <x v="743"/>
    <x v="2"/>
  </r>
  <r>
    <x v="13"/>
    <s v="Emitida"/>
    <d v="2017-10-12T00:00:00"/>
    <d v="2017-10-12T00:00:00"/>
    <d v="2017-11-11T00:00:00"/>
    <m/>
    <n v="5080.91"/>
    <x v="744"/>
    <x v="2"/>
  </r>
  <r>
    <x v="6"/>
    <s v="Emitida"/>
    <d v="2017-10-11T00:00:00"/>
    <d v="2017-10-11T00:00:00"/>
    <d v="2017-11-10T00:00:00"/>
    <m/>
    <n v="4200"/>
    <x v="745"/>
    <x v="2"/>
  </r>
  <r>
    <x v="40"/>
    <s v="Emitida"/>
    <d v="2017-10-10T00:00:00"/>
    <d v="2017-10-10T00:00:00"/>
    <d v="2017-10-25T00:00:00"/>
    <m/>
    <n v="26360"/>
    <x v="746"/>
    <x v="2"/>
  </r>
  <r>
    <x v="6"/>
    <s v="Emitida"/>
    <d v="2017-10-10T00:00:00"/>
    <d v="2017-10-10T00:00:00"/>
    <d v="2017-11-09T00:00:00"/>
    <m/>
    <n v="14480"/>
    <x v="747"/>
    <x v="2"/>
  </r>
  <r>
    <x v="6"/>
    <s v="Emitida"/>
    <d v="2017-10-09T00:00:00"/>
    <d v="2017-10-09T00:00:00"/>
    <d v="2017-11-08T00:00:00"/>
    <m/>
    <n v="8326"/>
    <x v="748"/>
    <x v="2"/>
  </r>
  <r>
    <x v="6"/>
    <s v="Emitida"/>
    <d v="2017-10-09T00:00:00"/>
    <d v="2017-10-09T00:00:00"/>
    <d v="2017-11-08T00:00:00"/>
    <m/>
    <n v="8266"/>
    <x v="229"/>
    <x v="2"/>
  </r>
  <r>
    <x v="6"/>
    <s v="Emitida"/>
    <d v="2017-10-09T00:00:00"/>
    <d v="2017-10-09T00:00:00"/>
    <d v="2017-11-08T00:00:00"/>
    <m/>
    <n v="8312"/>
    <x v="749"/>
    <x v="2"/>
  </r>
  <r>
    <x v="26"/>
    <s v="Emitida"/>
    <d v="2017-10-09T00:00:00"/>
    <d v="2017-10-09T00:00:00"/>
    <d v="2017-10-17T00:00:00"/>
    <m/>
    <n v="20152.7"/>
    <x v="750"/>
    <x v="2"/>
  </r>
  <r>
    <x v="24"/>
    <s v="Emitida"/>
    <d v="2017-10-05T00:00:00"/>
    <d v="2017-10-05T00:00:00"/>
    <d v="2017-10-13T00:00:00"/>
    <m/>
    <n v="2662"/>
    <x v="751"/>
    <x v="2"/>
  </r>
  <r>
    <x v="6"/>
    <s v="Emitida"/>
    <d v="2017-10-04T00:00:00"/>
    <d v="2017-10-04T00:00:00"/>
    <d v="2017-11-03T00:00:00"/>
    <m/>
    <n v="12424.2"/>
    <x v="752"/>
    <x v="2"/>
  </r>
  <r>
    <x v="6"/>
    <s v="Emitida"/>
    <d v="2017-10-04T00:00:00"/>
    <d v="2017-10-04T00:00:00"/>
    <d v="2017-11-03T00:00:00"/>
    <m/>
    <n v="4606"/>
    <x v="753"/>
    <x v="2"/>
  </r>
  <r>
    <x v="6"/>
    <s v="Emitida"/>
    <d v="2017-10-04T00:00:00"/>
    <d v="2017-10-04T00:00:00"/>
    <d v="2017-11-03T00:00:00"/>
    <m/>
    <n v="7850.22"/>
    <x v="754"/>
    <x v="2"/>
  </r>
  <r>
    <x v="17"/>
    <s v="Emitida"/>
    <d v="2017-09-29T00:00:00"/>
    <d v="2017-09-29T00:00:00"/>
    <d v="2017-10-14T00:00:00"/>
    <m/>
    <n v="350"/>
    <x v="530"/>
    <x v="3"/>
  </r>
  <r>
    <x v="14"/>
    <s v="Emitida"/>
    <d v="2017-09-28T00:00:00"/>
    <d v="2017-09-28T00:00:00"/>
    <d v="2017-10-05T00:00:00"/>
    <m/>
    <n v="24170.6"/>
    <x v="755"/>
    <x v="2"/>
  </r>
  <r>
    <x v="26"/>
    <s v="Emitida"/>
    <d v="2017-09-27T00:00:00"/>
    <d v="2017-09-27T00:00:00"/>
    <d v="2017-10-05T00:00:00"/>
    <m/>
    <n v="7420.74"/>
    <x v="756"/>
    <x v="2"/>
  </r>
  <r>
    <x v="14"/>
    <s v="Emitida"/>
    <d v="2017-09-27T00:00:00"/>
    <d v="2017-09-27T00:00:00"/>
    <d v="2017-10-04T00:00:00"/>
    <m/>
    <n v="2608"/>
    <x v="697"/>
    <x v="2"/>
  </r>
  <r>
    <x v="5"/>
    <s v="Emitida"/>
    <d v="2017-09-27T00:00:00"/>
    <d v="2017-09-27T00:00:00"/>
    <d v="2017-11-11T00:00:00"/>
    <m/>
    <n v="34817.199999999997"/>
    <x v="757"/>
    <x v="2"/>
  </r>
  <r>
    <x v="6"/>
    <s v="Emitida"/>
    <d v="2017-09-25T00:00:00"/>
    <d v="2017-09-25T00:00:00"/>
    <d v="2017-10-25T00:00:00"/>
    <m/>
    <n v="12206"/>
    <x v="758"/>
    <x v="2"/>
  </r>
  <r>
    <x v="13"/>
    <s v="Emitida"/>
    <d v="2017-09-25T00:00:00"/>
    <d v="2017-09-25T00:00:00"/>
    <d v="2017-10-25T00:00:00"/>
    <m/>
    <n v="18776"/>
    <x v="759"/>
    <x v="2"/>
  </r>
  <r>
    <x v="39"/>
    <s v="Emitida"/>
    <d v="2017-09-25T00:00:00"/>
    <d v="2017-09-25T00:00:00"/>
    <d v="2017-10-03T00:00:00"/>
    <m/>
    <n v="4572"/>
    <x v="760"/>
    <x v="2"/>
  </r>
  <r>
    <x v="39"/>
    <s v="Emitida"/>
    <d v="2017-09-21T00:00:00"/>
    <d v="2017-09-21T00:00:00"/>
    <d v="2017-09-29T00:00:00"/>
    <m/>
    <n v="1143"/>
    <x v="761"/>
    <x v="4"/>
  </r>
  <r>
    <x v="39"/>
    <s v="Emitida"/>
    <d v="2017-09-21T00:00:00"/>
    <d v="2017-09-21T00:00:00"/>
    <d v="2017-09-29T00:00:00"/>
    <m/>
    <n v="1905"/>
    <x v="762"/>
    <x v="4"/>
  </r>
  <r>
    <x v="2"/>
    <s v="Emitida"/>
    <d v="2017-09-20T00:00:00"/>
    <d v="2017-09-20T00:00:00"/>
    <d v="2017-10-20T00:00:00"/>
    <m/>
    <n v="5114"/>
    <x v="763"/>
    <x v="2"/>
  </r>
  <r>
    <x v="26"/>
    <s v="Emitida"/>
    <d v="2017-09-20T00:00:00"/>
    <d v="2017-09-20T00:00:00"/>
    <d v="2017-09-28T00:00:00"/>
    <m/>
    <n v="17425"/>
    <x v="764"/>
    <x v="2"/>
  </r>
  <r>
    <x v="8"/>
    <s v="Emitida"/>
    <d v="2017-09-19T00:00:00"/>
    <d v="2017-09-19T00:00:00"/>
    <d v="2017-11-03T00:00:00"/>
    <m/>
    <n v="14814.6"/>
    <x v="765"/>
    <x v="2"/>
  </r>
  <r>
    <x v="6"/>
    <s v="Emitida"/>
    <d v="2017-09-19T00:00:00"/>
    <d v="2017-09-18T00:00:00"/>
    <d v="2017-10-19T00:00:00"/>
    <m/>
    <n v="9839.2199999999993"/>
    <x v="766"/>
    <x v="2"/>
  </r>
  <r>
    <x v="6"/>
    <s v="Emitida"/>
    <d v="2017-09-19T00:00:00"/>
    <d v="2017-09-18T00:00:00"/>
    <d v="2017-10-19T00:00:00"/>
    <m/>
    <n v="11040.2"/>
    <x v="767"/>
    <x v="2"/>
  </r>
  <r>
    <x v="6"/>
    <s v="Emitida"/>
    <d v="2017-09-19T00:00:00"/>
    <d v="2017-09-18T00:00:00"/>
    <d v="2017-10-19T00:00:00"/>
    <m/>
    <n v="5738"/>
    <x v="768"/>
    <x v="2"/>
  </r>
  <r>
    <x v="26"/>
    <s v="Emitida"/>
    <d v="2017-09-19T00:00:00"/>
    <d v="2017-09-19T00:00:00"/>
    <d v="2017-09-27T00:00:00"/>
    <m/>
    <n v="85822.3"/>
    <x v="769"/>
    <x v="2"/>
  </r>
  <r>
    <x v="26"/>
    <s v="Emitida"/>
    <d v="2017-09-19T00:00:00"/>
    <d v="2017-09-19T00:00:00"/>
    <d v="2017-09-27T00:00:00"/>
    <m/>
    <n v="1061.4000000000001"/>
    <x v="770"/>
    <x v="2"/>
  </r>
  <r>
    <x v="8"/>
    <s v="Emitida"/>
    <d v="2017-09-19T00:00:00"/>
    <d v="2017-09-19T00:00:00"/>
    <d v="2017-11-03T00:00:00"/>
    <m/>
    <n v="5320"/>
    <x v="771"/>
    <x v="2"/>
  </r>
  <r>
    <x v="10"/>
    <s v="Emitida"/>
    <d v="2017-09-18T00:00:00"/>
    <d v="2017-09-18T00:00:00"/>
    <d v="2017-11-17T00:00:00"/>
    <m/>
    <n v="800"/>
    <x v="33"/>
    <x v="2"/>
  </r>
  <r>
    <x v="6"/>
    <s v="Emitida"/>
    <d v="2017-09-18T00:00:00"/>
    <d v="2017-09-18T00:00:00"/>
    <d v="2017-10-18T00:00:00"/>
    <m/>
    <n v="4628"/>
    <x v="772"/>
    <x v="2"/>
  </r>
  <r>
    <x v="6"/>
    <s v="Emitida"/>
    <d v="2017-09-18T00:00:00"/>
    <d v="2017-09-18T00:00:00"/>
    <d v="2017-10-18T00:00:00"/>
    <m/>
    <n v="16892"/>
    <x v="704"/>
    <x v="2"/>
  </r>
  <r>
    <x v="26"/>
    <s v="Emitida"/>
    <d v="2017-09-14T00:00:00"/>
    <d v="2017-09-14T00:00:00"/>
    <d v="2017-09-22T00:00:00"/>
    <m/>
    <n v="533.4"/>
    <x v="773"/>
    <x v="2"/>
  </r>
  <r>
    <x v="26"/>
    <s v="Emitida"/>
    <d v="2017-09-14T00:00:00"/>
    <d v="2017-09-14T00:00:00"/>
    <d v="2017-09-22T00:00:00"/>
    <m/>
    <n v="32165.4"/>
    <x v="774"/>
    <x v="2"/>
  </r>
  <r>
    <x v="26"/>
    <s v="Emitida"/>
    <d v="2017-09-12T00:00:00"/>
    <d v="2017-09-12T00:00:00"/>
    <d v="2017-09-20T00:00:00"/>
    <m/>
    <n v="29683.9"/>
    <x v="775"/>
    <x v="2"/>
  </r>
  <r>
    <x v="6"/>
    <s v="Emitida"/>
    <d v="2017-09-11T00:00:00"/>
    <d v="2017-09-11T00:00:00"/>
    <d v="2017-10-11T00:00:00"/>
    <m/>
    <n v="10570"/>
    <x v="776"/>
    <x v="2"/>
  </r>
  <r>
    <x v="8"/>
    <s v="Emitida"/>
    <d v="2017-09-07T00:00:00"/>
    <d v="2017-09-07T00:00:00"/>
    <d v="2017-10-22T00:00:00"/>
    <m/>
    <n v="12644"/>
    <x v="777"/>
    <x v="2"/>
  </r>
  <r>
    <x v="26"/>
    <s v="Emitida"/>
    <d v="2017-09-07T00:00:00"/>
    <d v="2017-09-07T00:00:00"/>
    <d v="2017-09-15T00:00:00"/>
    <m/>
    <n v="17644.400000000001"/>
    <x v="778"/>
    <x v="2"/>
  </r>
  <r>
    <x v="26"/>
    <s v="Emitida"/>
    <d v="2017-09-06T00:00:00"/>
    <d v="2017-09-06T00:00:00"/>
    <d v="2017-09-14T00:00:00"/>
    <m/>
    <n v="26336.799999999999"/>
    <x v="779"/>
    <x v="2"/>
  </r>
  <r>
    <x v="6"/>
    <s v="Emitida"/>
    <d v="2017-09-06T00:00:00"/>
    <d v="2017-09-04T00:00:00"/>
    <d v="2017-10-06T00:00:00"/>
    <m/>
    <n v="5692"/>
    <x v="780"/>
    <x v="2"/>
  </r>
  <r>
    <x v="6"/>
    <s v="Emitida"/>
    <d v="2017-09-06T00:00:00"/>
    <d v="2017-09-04T00:00:00"/>
    <d v="2017-10-06T00:00:00"/>
    <m/>
    <n v="4726.22"/>
    <x v="781"/>
    <x v="2"/>
  </r>
  <r>
    <x v="6"/>
    <s v="Emitida"/>
    <d v="2017-09-06T00:00:00"/>
    <d v="2017-09-04T00:00:00"/>
    <d v="2017-10-06T00:00:00"/>
    <m/>
    <n v="4676"/>
    <x v="782"/>
    <x v="2"/>
  </r>
  <r>
    <x v="2"/>
    <s v="Emitida"/>
    <d v="2017-09-05T00:00:00"/>
    <d v="2017-09-05T00:00:00"/>
    <d v="2017-10-05T00:00:00"/>
    <m/>
    <n v="36959"/>
    <x v="783"/>
    <x v="2"/>
  </r>
  <r>
    <x v="26"/>
    <s v="Emitida"/>
    <d v="2017-09-04T00:00:00"/>
    <d v="2017-09-04T00:00:00"/>
    <d v="2017-09-12T00:00:00"/>
    <m/>
    <n v="15227.5"/>
    <x v="784"/>
    <x v="2"/>
  </r>
  <r>
    <x v="13"/>
    <s v="Emitida"/>
    <d v="2017-09-01T00:00:00"/>
    <d v="2017-09-01T00:00:00"/>
    <d v="2017-10-01T00:00:00"/>
    <m/>
    <n v="7666"/>
    <x v="785"/>
    <x v="2"/>
  </r>
  <r>
    <x v="10"/>
    <s v="Emitida"/>
    <d v="2017-09-01T00:00:00"/>
    <d v="2017-09-01T00:00:00"/>
    <d v="2017-10-31T00:00:00"/>
    <m/>
    <n v="600"/>
    <x v="786"/>
    <x v="2"/>
  </r>
  <r>
    <x v="26"/>
    <s v="Emitida"/>
    <d v="2017-08-31T00:00:00"/>
    <d v="2017-08-31T00:00:00"/>
    <d v="2017-09-08T00:00:00"/>
    <m/>
    <n v="2717.76"/>
    <x v="787"/>
    <x v="2"/>
  </r>
  <r>
    <x v="26"/>
    <s v="Emitida"/>
    <d v="2017-08-31T00:00:00"/>
    <d v="2017-08-31T00:00:00"/>
    <d v="2017-09-08T00:00:00"/>
    <m/>
    <n v="32200.400000000001"/>
    <x v="788"/>
    <x v="2"/>
  </r>
  <r>
    <x v="6"/>
    <s v="Emitida"/>
    <d v="2017-08-31T00:00:00"/>
    <d v="2017-08-24T00:00:00"/>
    <d v="2017-09-30T00:00:00"/>
    <m/>
    <n v="27723"/>
    <x v="789"/>
    <x v="2"/>
  </r>
  <r>
    <x v="13"/>
    <s v="Emitida"/>
    <d v="2017-08-31T00:00:00"/>
    <d v="2017-08-31T00:00:00"/>
    <d v="2017-09-30T00:00:00"/>
    <m/>
    <n v="17198"/>
    <x v="790"/>
    <x v="2"/>
  </r>
  <r>
    <x v="25"/>
    <s v="Emitida"/>
    <d v="2017-08-30T00:00:00"/>
    <d v="2017-08-30T00:00:00"/>
    <d v="2017-09-14T00:00:00"/>
    <m/>
    <n v="19800"/>
    <x v="791"/>
    <x v="2"/>
  </r>
  <r>
    <x v="8"/>
    <s v="Emitida"/>
    <d v="2017-08-28T00:00:00"/>
    <d v="2017-08-28T00:00:00"/>
    <d v="2017-10-12T00:00:00"/>
    <m/>
    <n v="40490"/>
    <x v="792"/>
    <x v="2"/>
  </r>
  <r>
    <x v="26"/>
    <s v="Emitida"/>
    <d v="2017-08-25T00:00:00"/>
    <d v="2017-08-25T00:00:00"/>
    <d v="2017-09-02T00:00:00"/>
    <m/>
    <n v="22257.200000000001"/>
    <x v="793"/>
    <x v="2"/>
  </r>
  <r>
    <x v="26"/>
    <s v="Emitida"/>
    <d v="2017-08-24T00:00:00"/>
    <d v="2017-08-24T00:00:00"/>
    <d v="2017-09-01T00:00:00"/>
    <m/>
    <n v="2594.5500000000002"/>
    <x v="794"/>
    <x v="2"/>
  </r>
  <r>
    <x v="6"/>
    <s v="Emitida"/>
    <d v="2017-08-23T00:00:00"/>
    <d v="2017-08-23T00:00:00"/>
    <d v="2017-09-22T00:00:00"/>
    <m/>
    <n v="22037"/>
    <x v="795"/>
    <x v="2"/>
  </r>
  <r>
    <x v="6"/>
    <s v="Emitida"/>
    <d v="2017-08-23T00:00:00"/>
    <d v="2017-08-23T00:00:00"/>
    <d v="2017-09-22T00:00:00"/>
    <m/>
    <n v="4676"/>
    <x v="782"/>
    <x v="2"/>
  </r>
  <r>
    <x v="6"/>
    <s v="Emitida"/>
    <d v="2017-08-23T00:00:00"/>
    <d v="2017-08-23T00:00:00"/>
    <d v="2017-09-22T00:00:00"/>
    <m/>
    <n v="5692"/>
    <x v="780"/>
    <x v="2"/>
  </r>
  <r>
    <x v="6"/>
    <s v="Emitida"/>
    <d v="2017-08-22T00:00:00"/>
    <d v="2017-08-22T00:00:00"/>
    <d v="2017-09-21T00:00:00"/>
    <m/>
    <n v="27000"/>
    <x v="796"/>
    <x v="2"/>
  </r>
  <r>
    <x v="26"/>
    <s v="Emitida"/>
    <d v="2017-08-16T00:00:00"/>
    <d v="2017-08-16T00:00:00"/>
    <d v="2017-08-24T00:00:00"/>
    <m/>
    <n v="1915.97"/>
    <x v="797"/>
    <x v="2"/>
  </r>
  <r>
    <x v="6"/>
    <s v="Emitida"/>
    <d v="2017-08-16T00:00:00"/>
    <d v="2017-08-16T00:00:00"/>
    <d v="2017-09-15T00:00:00"/>
    <m/>
    <n v="4500"/>
    <x v="798"/>
    <x v="2"/>
  </r>
  <r>
    <x v="6"/>
    <s v="Emitida"/>
    <d v="2017-08-16T00:00:00"/>
    <d v="2017-08-16T00:00:00"/>
    <d v="2017-09-15T00:00:00"/>
    <m/>
    <n v="6265"/>
    <x v="799"/>
    <x v="2"/>
  </r>
  <r>
    <x v="6"/>
    <s v="Emitida"/>
    <d v="2017-08-16T00:00:00"/>
    <d v="2017-08-16T00:00:00"/>
    <d v="2017-09-15T00:00:00"/>
    <m/>
    <n v="5516"/>
    <x v="800"/>
    <x v="2"/>
  </r>
  <r>
    <x v="26"/>
    <s v="Emitida"/>
    <d v="2017-08-15T00:00:00"/>
    <d v="2017-08-15T00:00:00"/>
    <d v="2017-08-23T00:00:00"/>
    <m/>
    <n v="17513.3"/>
    <x v="801"/>
    <x v="2"/>
  </r>
  <r>
    <x v="26"/>
    <s v="Emitida"/>
    <d v="2017-08-15T00:00:00"/>
    <d v="2017-08-15T00:00:00"/>
    <d v="2017-08-23T00:00:00"/>
    <m/>
    <n v="12031.6"/>
    <x v="802"/>
    <x v="2"/>
  </r>
  <r>
    <x v="11"/>
    <s v="Emitida"/>
    <d v="2017-08-14T00:00:00"/>
    <d v="2017-08-14T00:00:00"/>
    <d v="2017-10-13T00:00:00"/>
    <m/>
    <n v="1636"/>
    <x v="116"/>
    <x v="2"/>
  </r>
  <r>
    <x v="11"/>
    <s v="Emitida"/>
    <d v="2017-08-14T00:00:00"/>
    <d v="2017-08-14T00:00:00"/>
    <d v="2017-10-13T00:00:00"/>
    <m/>
    <n v="1900"/>
    <x v="99"/>
    <x v="2"/>
  </r>
  <r>
    <x v="11"/>
    <s v="Emitida"/>
    <d v="2017-08-14T00:00:00"/>
    <d v="2017-08-14T00:00:00"/>
    <d v="2017-10-13T00:00:00"/>
    <m/>
    <n v="2280"/>
    <x v="803"/>
    <x v="2"/>
  </r>
  <r>
    <x v="14"/>
    <s v="Emitida"/>
    <d v="2017-08-14T00:00:00"/>
    <d v="2017-08-14T00:00:00"/>
    <d v="2017-08-21T00:00:00"/>
    <m/>
    <n v="422"/>
    <x v="804"/>
    <x v="2"/>
  </r>
  <r>
    <x v="28"/>
    <s v="Emitida"/>
    <d v="2017-08-14T00:00:00"/>
    <d v="2017-08-14T00:00:00"/>
    <d v="2017-08-16T00:00:00"/>
    <m/>
    <n v="3270"/>
    <x v="805"/>
    <x v="2"/>
  </r>
  <r>
    <x v="28"/>
    <s v="Emitida"/>
    <d v="2017-08-11T00:00:00"/>
    <d v="2017-08-10T00:00:00"/>
    <d v="2017-08-13T00:00:00"/>
    <m/>
    <n v="1085"/>
    <x v="806"/>
    <x v="2"/>
  </r>
  <r>
    <x v="13"/>
    <s v="Emitida"/>
    <d v="2017-08-09T00:00:00"/>
    <d v="2017-08-09T00:00:00"/>
    <d v="2017-09-08T00:00:00"/>
    <m/>
    <n v="15045"/>
    <x v="807"/>
    <x v="2"/>
  </r>
  <r>
    <x v="26"/>
    <s v="Emitida"/>
    <d v="2017-08-08T00:00:00"/>
    <d v="2017-08-08T00:00:00"/>
    <d v="2017-08-16T00:00:00"/>
    <m/>
    <n v="5192.3500000000004"/>
    <x v="808"/>
    <x v="2"/>
  </r>
  <r>
    <x v="6"/>
    <s v="Emitida"/>
    <d v="2017-08-08T00:00:00"/>
    <d v="2017-08-08T00:00:00"/>
    <d v="2017-09-07T00:00:00"/>
    <m/>
    <n v="8232"/>
    <x v="809"/>
    <x v="2"/>
  </r>
  <r>
    <x v="6"/>
    <s v="Emitida"/>
    <d v="2017-08-08T00:00:00"/>
    <d v="2017-08-08T00:00:00"/>
    <d v="2017-09-07T00:00:00"/>
    <m/>
    <n v="29480"/>
    <x v="102"/>
    <x v="2"/>
  </r>
  <r>
    <x v="10"/>
    <s v="Emitida"/>
    <d v="2017-08-07T00:00:00"/>
    <d v="2017-08-07T00:00:00"/>
    <d v="2017-10-06T00:00:00"/>
    <m/>
    <n v="1107.94"/>
    <x v="810"/>
    <x v="2"/>
  </r>
  <r>
    <x v="2"/>
    <s v="Emitida"/>
    <d v="2017-08-04T00:00:00"/>
    <d v="2017-08-04T00:00:00"/>
    <d v="2017-09-03T00:00:00"/>
    <m/>
    <n v="175"/>
    <x v="811"/>
    <x v="2"/>
  </r>
  <r>
    <x v="22"/>
    <s v="Emitida"/>
    <d v="2017-08-04T00:00:00"/>
    <d v="2017-08-04T00:00:00"/>
    <d v="2017-08-19T00:00:00"/>
    <m/>
    <n v="4280"/>
    <x v="812"/>
    <x v="2"/>
  </r>
  <r>
    <x v="26"/>
    <s v="Emitida"/>
    <d v="2017-08-03T00:00:00"/>
    <d v="2017-08-03T00:00:00"/>
    <d v="2017-08-11T00:00:00"/>
    <m/>
    <n v="91902.2"/>
    <x v="813"/>
    <x v="2"/>
  </r>
  <r>
    <x v="26"/>
    <s v="Emitida"/>
    <d v="2017-08-03T00:00:00"/>
    <d v="2017-08-03T00:00:00"/>
    <d v="2017-08-11T00:00:00"/>
    <m/>
    <n v="76599.5"/>
    <x v="814"/>
    <x v="2"/>
  </r>
  <r>
    <x v="6"/>
    <s v="Emitida"/>
    <d v="2017-08-03T00:00:00"/>
    <d v="2017-08-03T00:00:00"/>
    <d v="2017-09-02T00:00:00"/>
    <m/>
    <n v="16892"/>
    <x v="704"/>
    <x v="2"/>
  </r>
  <r>
    <x v="6"/>
    <s v="Emitida"/>
    <d v="2017-08-03T00:00:00"/>
    <d v="2017-08-03T00:00:00"/>
    <d v="2017-09-02T00:00:00"/>
    <m/>
    <n v="59704"/>
    <x v="815"/>
    <x v="2"/>
  </r>
  <r>
    <x v="10"/>
    <s v="Emitida"/>
    <d v="2017-08-03T00:00:00"/>
    <d v="2017-08-03T00:00:00"/>
    <d v="2017-10-02T00:00:00"/>
    <m/>
    <n v="935.92"/>
    <x v="816"/>
    <x v="2"/>
  </r>
  <r>
    <x v="6"/>
    <s v="Emitida"/>
    <d v="2017-08-02T00:00:00"/>
    <d v="2017-08-02T00:00:00"/>
    <d v="2017-09-01T00:00:00"/>
    <m/>
    <n v="29480"/>
    <x v="102"/>
    <x v="2"/>
  </r>
  <r>
    <x v="14"/>
    <s v="Emitida"/>
    <d v="2017-08-02T00:00:00"/>
    <d v="2017-08-02T00:00:00"/>
    <d v="2017-08-09T00:00:00"/>
    <m/>
    <n v="76103.199999999997"/>
    <x v="817"/>
    <x v="2"/>
  </r>
  <r>
    <x v="14"/>
    <s v="Emitida"/>
    <d v="2017-08-02T00:00:00"/>
    <d v="2017-08-02T00:00:00"/>
    <d v="2017-08-09T00:00:00"/>
    <m/>
    <n v="198654"/>
    <x v="818"/>
    <x v="2"/>
  </r>
  <r>
    <x v="25"/>
    <s v="Emitida"/>
    <d v="2017-08-01T00:00:00"/>
    <d v="2017-08-01T00:00:00"/>
    <d v="2017-08-16T00:00:00"/>
    <m/>
    <n v="41860"/>
    <x v="819"/>
    <x v="2"/>
  </r>
  <r>
    <x v="6"/>
    <s v="Emitida"/>
    <d v="2017-08-01T00:00:00"/>
    <d v="2017-08-01T00:00:00"/>
    <d v="2017-08-31T00:00:00"/>
    <m/>
    <n v="8330"/>
    <x v="820"/>
    <x v="2"/>
  </r>
  <r>
    <x v="26"/>
    <s v="Emitida"/>
    <d v="2017-07-31T00:00:00"/>
    <d v="2017-07-31T00:00:00"/>
    <d v="2017-08-08T00:00:00"/>
    <m/>
    <n v="62576.7"/>
    <x v="821"/>
    <x v="2"/>
  </r>
  <r>
    <x v="6"/>
    <s v="Emitida"/>
    <d v="2017-07-28T00:00:00"/>
    <d v="2017-07-28T00:00:00"/>
    <d v="2017-08-27T00:00:00"/>
    <m/>
    <n v="16892"/>
    <x v="704"/>
    <x v="2"/>
  </r>
  <r>
    <x v="24"/>
    <s v="Emitida"/>
    <d v="2017-07-28T00:00:00"/>
    <d v="2017-07-14T00:00:00"/>
    <d v="2017-08-05T00:00:00"/>
    <m/>
    <n v="8639.9599999999991"/>
    <x v="822"/>
    <x v="2"/>
  </r>
  <r>
    <x v="6"/>
    <s v="Emitida"/>
    <d v="2017-07-28T00:00:00"/>
    <d v="2017-07-28T00:00:00"/>
    <d v="2017-08-27T00:00:00"/>
    <m/>
    <n v="1964"/>
    <x v="823"/>
    <x v="2"/>
  </r>
  <r>
    <x v="25"/>
    <s v="Emitida"/>
    <d v="2017-07-28T00:00:00"/>
    <d v="2017-07-28T00:00:00"/>
    <d v="2017-08-12T00:00:00"/>
    <m/>
    <n v="4560"/>
    <x v="824"/>
    <x v="2"/>
  </r>
  <r>
    <x v="25"/>
    <s v="Emitida"/>
    <d v="2017-07-26T00:00:00"/>
    <d v="2017-07-26T00:00:00"/>
    <d v="2017-08-10T00:00:00"/>
    <m/>
    <n v="18650"/>
    <x v="825"/>
    <x v="2"/>
  </r>
  <r>
    <x v="6"/>
    <s v="Emitida"/>
    <d v="2017-07-25T00:00:00"/>
    <d v="2017-07-25T00:00:00"/>
    <d v="2017-08-24T00:00:00"/>
    <m/>
    <n v="41712"/>
    <x v="826"/>
    <x v="2"/>
  </r>
  <r>
    <x v="14"/>
    <s v="Emitida"/>
    <d v="2017-07-25T00:00:00"/>
    <d v="2017-07-25T00:00:00"/>
    <d v="2017-08-01T00:00:00"/>
    <m/>
    <n v="73225.2"/>
    <x v="827"/>
    <x v="2"/>
  </r>
  <r>
    <x v="14"/>
    <s v="Emitida"/>
    <d v="2017-07-25T00:00:00"/>
    <d v="2017-07-25T00:00:00"/>
    <d v="2017-08-01T00:00:00"/>
    <m/>
    <n v="87273.2"/>
    <x v="828"/>
    <x v="2"/>
  </r>
  <r>
    <x v="2"/>
    <s v="Emitida"/>
    <d v="2017-07-25T00:00:00"/>
    <d v="2017-07-25T00:00:00"/>
    <d v="2017-08-24T00:00:00"/>
    <m/>
    <n v="2247"/>
    <x v="669"/>
    <x v="2"/>
  </r>
  <r>
    <x v="26"/>
    <s v="Emitida"/>
    <d v="2017-07-24T00:00:00"/>
    <d v="2017-07-24T00:00:00"/>
    <d v="2017-08-01T00:00:00"/>
    <m/>
    <n v="76.959999999999994"/>
    <x v="829"/>
    <x v="2"/>
  </r>
  <r>
    <x v="14"/>
    <s v="Emitida"/>
    <d v="2017-07-21T00:00:00"/>
    <d v="2017-07-21T00:00:00"/>
    <d v="2017-07-28T00:00:00"/>
    <m/>
    <n v="6094.2"/>
    <x v="830"/>
    <x v="2"/>
  </r>
  <r>
    <x v="26"/>
    <s v="Emitida"/>
    <d v="2017-07-21T00:00:00"/>
    <d v="2017-07-21T00:00:00"/>
    <d v="2017-07-29T00:00:00"/>
    <m/>
    <n v="692.6"/>
    <x v="831"/>
    <x v="2"/>
  </r>
  <r>
    <x v="26"/>
    <s v="Emitida"/>
    <d v="2017-07-20T00:00:00"/>
    <d v="2017-07-20T00:00:00"/>
    <d v="2017-07-28T00:00:00"/>
    <m/>
    <n v="13151.5"/>
    <x v="832"/>
    <x v="2"/>
  </r>
  <r>
    <x v="2"/>
    <s v="Emitida"/>
    <d v="2017-07-19T00:00:00"/>
    <d v="2017-07-19T00:00:00"/>
    <d v="2017-08-18T00:00:00"/>
    <m/>
    <n v="11320"/>
    <x v="364"/>
    <x v="2"/>
  </r>
  <r>
    <x v="26"/>
    <s v="Emitida"/>
    <d v="2017-07-19T00:00:00"/>
    <d v="2017-07-19T00:00:00"/>
    <d v="2017-07-27T00:00:00"/>
    <m/>
    <n v="29307.200000000001"/>
    <x v="833"/>
    <x v="2"/>
  </r>
  <r>
    <x v="14"/>
    <s v="Emitida"/>
    <d v="2017-07-19T00:00:00"/>
    <d v="2017-07-19T00:00:00"/>
    <d v="2017-07-26T00:00:00"/>
    <m/>
    <n v="274599"/>
    <x v="834"/>
    <x v="2"/>
  </r>
  <r>
    <x v="14"/>
    <s v="Emitida"/>
    <d v="2017-07-19T00:00:00"/>
    <d v="2017-07-19T00:00:00"/>
    <d v="2017-07-26T00:00:00"/>
    <m/>
    <n v="256580"/>
    <x v="835"/>
    <x v="2"/>
  </r>
  <r>
    <x v="26"/>
    <s v="Emitida"/>
    <d v="2017-07-19T00:00:00"/>
    <d v="2017-07-19T00:00:00"/>
    <d v="2017-07-27T00:00:00"/>
    <m/>
    <n v="58806.6"/>
    <x v="836"/>
    <x v="2"/>
  </r>
  <r>
    <x v="14"/>
    <s v="Emitida"/>
    <d v="2017-07-17T00:00:00"/>
    <d v="2017-07-17T00:00:00"/>
    <d v="2017-07-24T00:00:00"/>
    <m/>
    <n v="11613"/>
    <x v="837"/>
    <x v="2"/>
  </r>
  <r>
    <x v="41"/>
    <s v="Emitida"/>
    <d v="2017-07-17T00:00:00"/>
    <d v="2017-07-17T00:00:00"/>
    <d v="2017-08-01T00:00:00"/>
    <m/>
    <n v="2950"/>
    <x v="838"/>
    <x v="2"/>
  </r>
  <r>
    <x v="8"/>
    <s v="Emitida"/>
    <d v="2017-07-14T00:00:00"/>
    <d v="2017-07-14T00:00:00"/>
    <d v="2017-08-28T00:00:00"/>
    <m/>
    <n v="58070"/>
    <x v="839"/>
    <x v="2"/>
  </r>
  <r>
    <x v="13"/>
    <s v="Emitida"/>
    <d v="2017-07-14T00:00:00"/>
    <d v="2017-07-14T00:00:00"/>
    <d v="2017-08-13T00:00:00"/>
    <m/>
    <n v="3395"/>
    <x v="840"/>
    <x v="2"/>
  </r>
  <r>
    <x v="2"/>
    <s v="Emitida"/>
    <d v="2017-07-14T00:00:00"/>
    <d v="2017-07-14T00:00:00"/>
    <d v="2017-08-13T00:00:00"/>
    <m/>
    <n v="17689"/>
    <x v="841"/>
    <x v="2"/>
  </r>
  <r>
    <x v="6"/>
    <s v="Emitida"/>
    <d v="2017-07-14T00:00:00"/>
    <d v="2017-07-14T00:00:00"/>
    <d v="2017-08-13T00:00:00"/>
    <m/>
    <n v="22577"/>
    <x v="610"/>
    <x v="2"/>
  </r>
  <r>
    <x v="6"/>
    <s v="Emitida"/>
    <d v="2017-07-14T00:00:00"/>
    <d v="2017-07-14T00:00:00"/>
    <d v="2017-08-13T00:00:00"/>
    <m/>
    <n v="3190"/>
    <x v="842"/>
    <x v="2"/>
  </r>
  <r>
    <x v="2"/>
    <s v="Emitida"/>
    <d v="2017-07-12T00:00:00"/>
    <d v="2017-07-12T00:00:00"/>
    <d v="2017-08-11T00:00:00"/>
    <m/>
    <n v="2460"/>
    <x v="843"/>
    <x v="2"/>
  </r>
  <r>
    <x v="2"/>
    <s v="Emitida"/>
    <d v="2017-07-12T00:00:00"/>
    <d v="2017-07-12T00:00:00"/>
    <d v="2017-08-11T00:00:00"/>
    <m/>
    <n v="2755"/>
    <x v="844"/>
    <x v="2"/>
  </r>
  <r>
    <x v="36"/>
    <s v="Emitida"/>
    <d v="2017-07-11T00:00:00"/>
    <d v="2017-07-10T00:00:00"/>
    <d v="2017-07-18T00:00:00"/>
    <m/>
    <n v="1442"/>
    <x v="845"/>
    <x v="5"/>
  </r>
  <r>
    <x v="26"/>
    <s v="Emitida"/>
    <d v="2017-07-10T00:00:00"/>
    <d v="2017-07-10T00:00:00"/>
    <d v="2017-07-18T00:00:00"/>
    <m/>
    <n v="45804.5"/>
    <x v="846"/>
    <x v="2"/>
  </r>
  <r>
    <x v="14"/>
    <s v="Emitida"/>
    <d v="2017-07-10T00:00:00"/>
    <d v="2017-07-10T00:00:00"/>
    <d v="2017-07-17T00:00:00"/>
    <m/>
    <n v="699"/>
    <x v="847"/>
    <x v="2"/>
  </r>
  <r>
    <x v="38"/>
    <s v="Emitida"/>
    <d v="2017-07-07T00:00:00"/>
    <d v="2017-07-07T00:00:00"/>
    <d v="2017-07-07T00:00:00"/>
    <m/>
    <n v="1211.76"/>
    <x v="848"/>
    <x v="2"/>
  </r>
  <r>
    <x v="42"/>
    <s v="Emitida"/>
    <d v="2017-07-06T00:00:00"/>
    <d v="2017-07-06T00:00:00"/>
    <d v="2017-08-05T00:00:00"/>
    <m/>
    <n v="14928"/>
    <x v="849"/>
    <x v="2"/>
  </r>
  <r>
    <x v="26"/>
    <s v="Emitida"/>
    <d v="2017-07-06T00:00:00"/>
    <d v="2017-07-06T00:00:00"/>
    <d v="2017-07-14T00:00:00"/>
    <m/>
    <n v="8413.1299999999992"/>
    <x v="850"/>
    <x v="2"/>
  </r>
  <r>
    <x v="26"/>
    <s v="Emitida"/>
    <d v="2017-07-06T00:00:00"/>
    <d v="2017-07-06T00:00:00"/>
    <d v="2017-07-14T00:00:00"/>
    <m/>
    <n v="43245.3"/>
    <x v="851"/>
    <x v="2"/>
  </r>
  <r>
    <x v="26"/>
    <s v="Emitida"/>
    <d v="2017-07-06T00:00:00"/>
    <d v="2017-07-06T00:00:00"/>
    <d v="2017-07-14T00:00:00"/>
    <m/>
    <n v="48727.9"/>
    <x v="852"/>
    <x v="2"/>
  </r>
  <r>
    <x v="26"/>
    <s v="Emitida"/>
    <d v="2017-07-06T00:00:00"/>
    <d v="2017-07-06T00:00:00"/>
    <d v="2017-07-14T00:00:00"/>
    <m/>
    <n v="53570.2"/>
    <x v="853"/>
    <x v="2"/>
  </r>
  <r>
    <x v="8"/>
    <s v="Emitida"/>
    <d v="2017-07-05T00:00:00"/>
    <d v="2017-07-05T00:00:00"/>
    <d v="2017-08-19T00:00:00"/>
    <m/>
    <n v="28200"/>
    <x v="854"/>
    <x v="2"/>
  </r>
  <r>
    <x v="26"/>
    <s v="Emitida"/>
    <d v="2017-06-28T00:00:00"/>
    <d v="2017-06-28T00:00:00"/>
    <d v="2017-07-06T00:00:00"/>
    <m/>
    <n v="48534.9"/>
    <x v="855"/>
    <x v="2"/>
  </r>
  <r>
    <x v="6"/>
    <s v="Emitida"/>
    <d v="2017-06-28T00:00:00"/>
    <d v="2017-06-28T00:00:00"/>
    <d v="2017-07-28T00:00:00"/>
    <m/>
    <n v="3040"/>
    <x v="856"/>
    <x v="2"/>
  </r>
  <r>
    <x v="26"/>
    <s v="Emitida"/>
    <d v="2017-06-27T00:00:00"/>
    <d v="2017-06-27T00:00:00"/>
    <d v="2017-07-05T00:00:00"/>
    <m/>
    <n v="2415.06"/>
    <x v="857"/>
    <x v="2"/>
  </r>
  <r>
    <x v="26"/>
    <s v="Emitida"/>
    <d v="2017-06-27T00:00:00"/>
    <d v="2017-06-27T00:00:00"/>
    <d v="2017-07-05T00:00:00"/>
    <m/>
    <n v="20070.5"/>
    <x v="858"/>
    <x v="2"/>
  </r>
  <r>
    <x v="26"/>
    <s v="Emitida"/>
    <d v="2017-06-26T00:00:00"/>
    <d v="2017-06-26T00:00:00"/>
    <d v="2017-07-04T00:00:00"/>
    <m/>
    <n v="14439.6"/>
    <x v="859"/>
    <x v="2"/>
  </r>
  <r>
    <x v="13"/>
    <s v="Emitida"/>
    <d v="2017-06-26T00:00:00"/>
    <d v="2017-06-26T00:00:00"/>
    <d v="2017-07-26T00:00:00"/>
    <m/>
    <n v="12492"/>
    <x v="860"/>
    <x v="2"/>
  </r>
  <r>
    <x v="41"/>
    <s v="Emitida"/>
    <d v="2017-06-26T00:00:00"/>
    <d v="2017-06-26T00:00:00"/>
    <d v="2017-07-11T00:00:00"/>
    <m/>
    <n v="2950"/>
    <x v="838"/>
    <x v="2"/>
  </r>
  <r>
    <x v="14"/>
    <s v="Emitida"/>
    <d v="2017-06-23T00:00:00"/>
    <d v="2017-06-23T00:00:00"/>
    <d v="2017-06-30T00:00:00"/>
    <m/>
    <n v="249227"/>
    <x v="861"/>
    <x v="2"/>
  </r>
  <r>
    <x v="6"/>
    <s v="Emitida"/>
    <d v="2017-06-21T00:00:00"/>
    <d v="2017-06-21T00:00:00"/>
    <d v="2017-07-21T00:00:00"/>
    <m/>
    <n v="4840"/>
    <x v="862"/>
    <x v="2"/>
  </r>
  <r>
    <x v="13"/>
    <s v="Emitida"/>
    <d v="2017-06-16T00:00:00"/>
    <d v="2017-06-16T00:00:00"/>
    <d v="2017-07-16T00:00:00"/>
    <m/>
    <n v="456"/>
    <x v="863"/>
    <x v="2"/>
  </r>
  <r>
    <x v="38"/>
    <s v="Emitida"/>
    <d v="2017-06-15T00:00:00"/>
    <d v="2017-06-15T00:00:00"/>
    <d v="2017-06-15T00:00:00"/>
    <m/>
    <n v="4336.8"/>
    <x v="864"/>
    <x v="2"/>
  </r>
  <r>
    <x v="13"/>
    <s v="Emitida"/>
    <d v="2017-06-15T00:00:00"/>
    <d v="2017-06-15T00:00:00"/>
    <d v="2017-07-15T00:00:00"/>
    <m/>
    <n v="10410"/>
    <x v="865"/>
    <x v="2"/>
  </r>
  <r>
    <x v="26"/>
    <s v="Emitida"/>
    <d v="2017-06-15T00:00:00"/>
    <d v="2017-06-14T00:00:00"/>
    <d v="2017-06-23T00:00:00"/>
    <m/>
    <n v="53187.6"/>
    <x v="866"/>
    <x v="2"/>
  </r>
  <r>
    <x v="6"/>
    <s v="Emitida"/>
    <d v="2017-06-13T00:00:00"/>
    <d v="2017-06-13T00:00:00"/>
    <d v="2017-07-13T00:00:00"/>
    <m/>
    <n v="19655"/>
    <x v="867"/>
    <x v="2"/>
  </r>
  <r>
    <x v="26"/>
    <s v="Emitida"/>
    <d v="2017-06-13T00:00:00"/>
    <d v="2017-06-13T00:00:00"/>
    <d v="2017-06-21T00:00:00"/>
    <m/>
    <n v="9276.9"/>
    <x v="868"/>
    <x v="2"/>
  </r>
  <r>
    <x v="26"/>
    <s v="Emitida"/>
    <d v="2017-06-13T00:00:00"/>
    <d v="2017-06-13T00:00:00"/>
    <d v="2017-06-21T00:00:00"/>
    <m/>
    <n v="36297"/>
    <x v="869"/>
    <x v="2"/>
  </r>
  <r>
    <x v="26"/>
    <s v="Emitida"/>
    <d v="2017-06-12T00:00:00"/>
    <d v="2017-06-12T00:00:00"/>
    <d v="2017-06-20T00:00:00"/>
    <m/>
    <n v="7104.65"/>
    <x v="870"/>
    <x v="2"/>
  </r>
  <r>
    <x v="26"/>
    <s v="Emitida"/>
    <d v="2017-06-12T00:00:00"/>
    <d v="2017-06-12T00:00:00"/>
    <d v="2017-06-20T00:00:00"/>
    <m/>
    <n v="11493.3"/>
    <x v="871"/>
    <x v="2"/>
  </r>
  <r>
    <x v="26"/>
    <s v="Emitida"/>
    <d v="2017-06-09T00:00:00"/>
    <d v="2017-06-09T00:00:00"/>
    <d v="2017-06-17T00:00:00"/>
    <m/>
    <n v="7032.4"/>
    <x v="872"/>
    <x v="2"/>
  </r>
  <r>
    <x v="13"/>
    <s v="Emitida"/>
    <d v="2017-06-09T00:00:00"/>
    <d v="2017-06-09T00:00:00"/>
    <d v="2017-07-09T00:00:00"/>
    <m/>
    <n v="3605"/>
    <x v="873"/>
    <x v="2"/>
  </r>
  <r>
    <x v="6"/>
    <s v="Emitida"/>
    <d v="2017-06-08T00:00:00"/>
    <d v="2017-06-08T00:00:00"/>
    <d v="2017-07-08T00:00:00"/>
    <m/>
    <n v="4790"/>
    <x v="874"/>
    <x v="2"/>
  </r>
  <r>
    <x v="26"/>
    <s v="Emitida"/>
    <d v="2017-06-07T00:00:00"/>
    <d v="2017-06-07T00:00:00"/>
    <d v="2017-06-15T00:00:00"/>
    <m/>
    <n v="8271"/>
    <x v="875"/>
    <x v="2"/>
  </r>
  <r>
    <x v="6"/>
    <s v="Emitida"/>
    <d v="2017-06-06T00:00:00"/>
    <d v="2017-06-06T00:00:00"/>
    <d v="2017-07-06T00:00:00"/>
    <m/>
    <n v="3730"/>
    <x v="876"/>
    <x v="2"/>
  </r>
  <r>
    <x v="14"/>
    <s v="Emitida"/>
    <d v="2017-06-05T00:00:00"/>
    <d v="2017-06-05T00:00:00"/>
    <d v="2017-06-12T00:00:00"/>
    <m/>
    <n v="11613"/>
    <x v="837"/>
    <x v="2"/>
  </r>
  <r>
    <x v="38"/>
    <s v="Emitida"/>
    <d v="2017-06-05T00:00:00"/>
    <d v="2017-06-05T00:00:00"/>
    <d v="2017-06-05T00:00:00"/>
    <m/>
    <n v="1487.2"/>
    <x v="877"/>
    <x v="2"/>
  </r>
  <r>
    <x v="26"/>
    <s v="Emitida"/>
    <d v="2017-06-02T00:00:00"/>
    <d v="2017-06-02T00:00:00"/>
    <d v="2017-06-10T00:00:00"/>
    <m/>
    <n v="3588.48"/>
    <x v="878"/>
    <x v="2"/>
  </r>
  <r>
    <x v="26"/>
    <s v="Emitida"/>
    <d v="2017-06-02T00:00:00"/>
    <d v="2017-06-02T00:00:00"/>
    <d v="2017-06-10T00:00:00"/>
    <m/>
    <n v="32179.5"/>
    <x v="879"/>
    <x v="2"/>
  </r>
  <r>
    <x v="8"/>
    <s v="Emitida"/>
    <d v="2017-06-01T00:00:00"/>
    <d v="2017-06-01T00:00:00"/>
    <d v="2017-07-16T00:00:00"/>
    <m/>
    <n v="33036"/>
    <x v="880"/>
    <x v="2"/>
  </r>
  <r>
    <x v="37"/>
    <s v="Emitida"/>
    <d v="2017-05-31T00:00:00"/>
    <d v="2017-05-31T00:00:00"/>
    <d v="2017-06-30T00:00:00"/>
    <m/>
    <n v="4980"/>
    <x v="881"/>
    <x v="2"/>
  </r>
  <r>
    <x v="2"/>
    <s v="Emitida"/>
    <d v="2017-05-31T00:00:00"/>
    <d v="2017-05-31T00:00:00"/>
    <d v="2017-06-30T00:00:00"/>
    <m/>
    <n v="3300"/>
    <x v="882"/>
    <x v="2"/>
  </r>
  <r>
    <x v="2"/>
    <s v="Emitida"/>
    <d v="2017-05-31T00:00:00"/>
    <d v="2017-05-31T00:00:00"/>
    <d v="2017-06-30T00:00:00"/>
    <m/>
    <n v="5420"/>
    <x v="883"/>
    <x v="2"/>
  </r>
  <r>
    <x v="29"/>
    <s v="Emitida"/>
    <d v="2017-05-30T00:00:00"/>
    <d v="2017-05-30T00:00:00"/>
    <d v="2017-06-06T00:00:00"/>
    <m/>
    <n v="23358.7"/>
    <x v="884"/>
    <x v="6"/>
  </r>
  <r>
    <x v="26"/>
    <s v="Emitida"/>
    <d v="2017-05-26T00:00:00"/>
    <d v="2017-05-26T00:00:00"/>
    <d v="2017-06-03T00:00:00"/>
    <m/>
    <n v="3725.88"/>
    <x v="885"/>
    <x v="2"/>
  </r>
  <r>
    <x v="10"/>
    <s v="Emitida"/>
    <d v="2017-05-26T00:00:00"/>
    <d v="2017-05-26T00:00:00"/>
    <d v="2017-07-25T00:00:00"/>
    <m/>
    <n v="21306.6"/>
    <x v="886"/>
    <x v="2"/>
  </r>
  <r>
    <x v="6"/>
    <s v="Emitida"/>
    <d v="2017-05-25T00:00:00"/>
    <d v="2017-05-25T00:00:00"/>
    <d v="2017-06-24T00:00:00"/>
    <m/>
    <n v="15080"/>
    <x v="887"/>
    <x v="2"/>
  </r>
  <r>
    <x v="6"/>
    <s v="Emitida"/>
    <d v="2017-05-25T00:00:00"/>
    <d v="2017-05-25T00:00:00"/>
    <d v="2017-06-24T00:00:00"/>
    <m/>
    <n v="38624"/>
    <x v="888"/>
    <x v="2"/>
  </r>
  <r>
    <x v="10"/>
    <s v="Emitida"/>
    <d v="2017-05-23T00:00:00"/>
    <d v="2017-05-23T00:00:00"/>
    <d v="2017-07-22T00:00:00"/>
    <m/>
    <n v="320"/>
    <x v="575"/>
    <x v="2"/>
  </r>
  <r>
    <x v="10"/>
    <s v="Emitida"/>
    <d v="2017-05-23T00:00:00"/>
    <d v="2017-05-23T00:00:00"/>
    <d v="2017-07-22T00:00:00"/>
    <m/>
    <n v="85226.4"/>
    <x v="889"/>
    <x v="2"/>
  </r>
  <r>
    <x v="10"/>
    <s v="Emitida"/>
    <d v="2017-05-23T00:00:00"/>
    <d v="2017-05-23T00:00:00"/>
    <d v="2017-07-22T00:00:00"/>
    <m/>
    <n v="1200"/>
    <x v="890"/>
    <x v="2"/>
  </r>
  <r>
    <x v="43"/>
    <s v="Emitida"/>
    <d v="2017-05-23T00:00:00"/>
    <d v="2017-05-23T00:00:00"/>
    <d v="2017-05-30T00:00:00"/>
    <m/>
    <n v="24297"/>
    <x v="891"/>
    <x v="2"/>
  </r>
  <r>
    <x v="13"/>
    <s v="Emitida"/>
    <d v="2017-05-22T00:00:00"/>
    <d v="2017-05-22T00:00:00"/>
    <d v="2017-06-21T00:00:00"/>
    <m/>
    <n v="5609"/>
    <x v="892"/>
    <x v="2"/>
  </r>
  <r>
    <x v="26"/>
    <s v="Emitida"/>
    <d v="2017-05-22T00:00:00"/>
    <d v="2017-05-22T00:00:00"/>
    <d v="2017-05-30T00:00:00"/>
    <m/>
    <n v="26166.1"/>
    <x v="893"/>
    <x v="2"/>
  </r>
  <r>
    <x v="24"/>
    <s v="Emitida"/>
    <d v="2017-05-19T00:00:00"/>
    <d v="2017-05-19T00:00:00"/>
    <d v="2017-05-27T00:00:00"/>
    <m/>
    <n v="3006.99"/>
    <x v="894"/>
    <x v="2"/>
  </r>
  <r>
    <x v="26"/>
    <s v="Emitida"/>
    <d v="2017-05-17T00:00:00"/>
    <d v="2017-05-17T00:00:00"/>
    <d v="2017-05-25T00:00:00"/>
    <m/>
    <n v="52220.5"/>
    <x v="895"/>
    <x v="2"/>
  </r>
  <r>
    <x v="13"/>
    <s v="Emitida"/>
    <d v="2017-05-16T00:00:00"/>
    <d v="2017-05-16T00:00:00"/>
    <d v="2017-06-15T00:00:00"/>
    <m/>
    <n v="10410"/>
    <x v="865"/>
    <x v="2"/>
  </r>
  <r>
    <x v="26"/>
    <s v="Emitida"/>
    <d v="2017-05-16T00:00:00"/>
    <d v="2017-05-16T00:00:00"/>
    <d v="2017-05-24T00:00:00"/>
    <m/>
    <n v="4783.8"/>
    <x v="896"/>
    <x v="2"/>
  </r>
  <r>
    <x v="26"/>
    <s v="Emitida"/>
    <d v="2017-05-15T00:00:00"/>
    <d v="2017-05-15T00:00:00"/>
    <d v="2017-05-23T00:00:00"/>
    <m/>
    <n v="9043.2000000000007"/>
    <x v="897"/>
    <x v="2"/>
  </r>
  <r>
    <x v="26"/>
    <s v="Emitida"/>
    <d v="2017-05-15T00:00:00"/>
    <d v="2017-05-15T00:00:00"/>
    <d v="2017-05-23T00:00:00"/>
    <m/>
    <n v="1113.5999999999999"/>
    <x v="898"/>
    <x v="2"/>
  </r>
  <r>
    <x v="26"/>
    <s v="Emitida"/>
    <d v="2017-05-11T00:00:00"/>
    <d v="2017-05-11T00:00:00"/>
    <d v="2017-05-19T00:00:00"/>
    <m/>
    <n v="21186.799999999999"/>
    <x v="899"/>
    <x v="2"/>
  </r>
  <r>
    <x v="2"/>
    <s v="Emitida"/>
    <d v="2017-05-10T00:00:00"/>
    <d v="2017-05-10T00:00:00"/>
    <d v="2017-06-09T00:00:00"/>
    <m/>
    <n v="12838"/>
    <x v="900"/>
    <x v="2"/>
  </r>
  <r>
    <x v="26"/>
    <s v="Emitida"/>
    <d v="2017-05-09T00:00:00"/>
    <d v="2017-05-09T00:00:00"/>
    <d v="2017-05-17T00:00:00"/>
    <m/>
    <n v="14217.5"/>
    <x v="901"/>
    <x v="2"/>
  </r>
  <r>
    <x v="26"/>
    <s v="Emitida"/>
    <d v="2017-05-08T00:00:00"/>
    <d v="2017-05-08T00:00:00"/>
    <d v="2017-05-16T00:00:00"/>
    <m/>
    <n v="7901.08"/>
    <x v="902"/>
    <x v="2"/>
  </r>
  <r>
    <x v="44"/>
    <s v="Emitida"/>
    <d v="2017-05-08T00:00:00"/>
    <d v="2017-05-08T00:00:00"/>
    <d v="2017-05-23T00:00:00"/>
    <m/>
    <n v="6981"/>
    <x v="903"/>
    <x v="2"/>
  </r>
  <r>
    <x v="26"/>
    <s v="Emitida"/>
    <d v="2017-05-04T00:00:00"/>
    <d v="2017-05-04T00:00:00"/>
    <d v="2017-05-12T00:00:00"/>
    <m/>
    <n v="2831.83"/>
    <x v="904"/>
    <x v="2"/>
  </r>
  <r>
    <x v="14"/>
    <s v="Emitida"/>
    <d v="2017-05-02T00:00:00"/>
    <d v="2017-05-02T00:00:00"/>
    <d v="2017-05-09T00:00:00"/>
    <m/>
    <n v="46452"/>
    <x v="905"/>
    <x v="2"/>
  </r>
  <r>
    <x v="45"/>
    <s v="Emitida"/>
    <d v="2017-04-27T00:00:00"/>
    <d v="2017-04-27T00:00:00"/>
    <d v="2017-05-04T00:00:00"/>
    <m/>
    <n v="2380"/>
    <x v="906"/>
    <x v="5"/>
  </r>
  <r>
    <x v="37"/>
    <s v="Emitida"/>
    <d v="2017-04-27T00:00:00"/>
    <d v="2017-04-24T00:00:00"/>
    <d v="2017-05-27T00:00:00"/>
    <m/>
    <n v="4900"/>
    <x v="907"/>
    <x v="2"/>
  </r>
  <r>
    <x v="6"/>
    <s v="Emitida"/>
    <d v="2017-04-24T00:00:00"/>
    <d v="2017-04-24T00:00:00"/>
    <d v="2017-05-24T00:00:00"/>
    <m/>
    <n v="4120"/>
    <x v="908"/>
    <x v="2"/>
  </r>
  <r>
    <x v="26"/>
    <s v="Emitida"/>
    <d v="2017-04-21T00:00:00"/>
    <d v="2017-04-21T00:00:00"/>
    <d v="2017-04-29T00:00:00"/>
    <m/>
    <n v="31535.9"/>
    <x v="909"/>
    <x v="2"/>
  </r>
  <r>
    <x v="13"/>
    <s v="Emitida"/>
    <d v="2017-04-20T00:00:00"/>
    <d v="2017-04-20T00:00:00"/>
    <d v="2017-05-20T00:00:00"/>
    <m/>
    <n v="10470"/>
    <x v="910"/>
    <x v="2"/>
  </r>
  <r>
    <x v="6"/>
    <s v="Emitida"/>
    <d v="2017-04-20T00:00:00"/>
    <d v="2017-04-20T00:00:00"/>
    <d v="2017-05-20T00:00:00"/>
    <m/>
    <n v="875"/>
    <x v="911"/>
    <x v="2"/>
  </r>
  <r>
    <x v="26"/>
    <s v="Emitida"/>
    <d v="2017-04-19T00:00:00"/>
    <d v="2017-04-19T00:00:00"/>
    <d v="2017-04-27T00:00:00"/>
    <m/>
    <n v="2497.8000000000002"/>
    <x v="912"/>
    <x v="2"/>
  </r>
  <r>
    <x v="26"/>
    <s v="Emitida"/>
    <d v="2017-04-19T00:00:00"/>
    <d v="2017-04-19T00:00:00"/>
    <d v="2017-04-27T00:00:00"/>
    <m/>
    <n v="9230.6299999999992"/>
    <x v="913"/>
    <x v="2"/>
  </r>
  <r>
    <x v="2"/>
    <s v="Emitida"/>
    <d v="2017-04-19T00:00:00"/>
    <d v="2017-04-19T00:00:00"/>
    <d v="2017-05-19T00:00:00"/>
    <m/>
    <n v="10686"/>
    <x v="914"/>
    <x v="2"/>
  </r>
  <r>
    <x v="38"/>
    <s v="Emitida"/>
    <d v="2017-04-17T00:00:00"/>
    <d v="2017-04-17T00:00:00"/>
    <d v="2017-04-17T00:00:00"/>
    <m/>
    <n v="975.52"/>
    <x v="915"/>
    <x v="2"/>
  </r>
  <r>
    <x v="26"/>
    <s v="Emitida"/>
    <d v="2017-04-11T00:00:00"/>
    <d v="2017-04-11T00:00:00"/>
    <d v="2017-04-19T00:00:00"/>
    <m/>
    <n v="18866"/>
    <x v="916"/>
    <x v="2"/>
  </r>
  <r>
    <x v="26"/>
    <s v="Emitida"/>
    <d v="2017-04-11T00:00:00"/>
    <d v="2017-04-11T00:00:00"/>
    <d v="2017-04-19T00:00:00"/>
    <m/>
    <n v="6565.89"/>
    <x v="917"/>
    <x v="2"/>
  </r>
  <r>
    <x v="22"/>
    <s v="Emitida"/>
    <d v="2017-04-11T00:00:00"/>
    <d v="2017-04-11T00:00:00"/>
    <d v="2017-04-26T00:00:00"/>
    <m/>
    <n v="1650"/>
    <x v="918"/>
    <x v="2"/>
  </r>
  <r>
    <x v="6"/>
    <s v="Emitida"/>
    <d v="2017-04-11T00:00:00"/>
    <d v="2017-04-11T00:00:00"/>
    <d v="2017-05-11T00:00:00"/>
    <m/>
    <n v="27249"/>
    <x v="919"/>
    <x v="2"/>
  </r>
  <r>
    <x v="10"/>
    <s v="Emitida"/>
    <d v="2017-04-07T00:00:00"/>
    <d v="2017-04-07T00:00:00"/>
    <d v="2017-06-06T00:00:00"/>
    <m/>
    <n v="2920.32"/>
    <x v="920"/>
    <x v="2"/>
  </r>
  <r>
    <x v="46"/>
    <s v="Emitida"/>
    <d v="2017-04-06T00:00:00"/>
    <d v="2017-03-24T00:00:00"/>
    <d v="2017-04-06T00:00:00"/>
    <m/>
    <n v="1942"/>
    <x v="921"/>
    <x v="2"/>
  </r>
  <r>
    <x v="26"/>
    <s v="Emitida"/>
    <d v="2017-04-06T00:00:00"/>
    <d v="2017-04-06T00:00:00"/>
    <d v="2017-04-14T00:00:00"/>
    <m/>
    <n v="32082.5"/>
    <x v="922"/>
    <x v="2"/>
  </r>
  <r>
    <x v="13"/>
    <s v="Emitida"/>
    <d v="2017-04-05T00:00:00"/>
    <d v="2017-04-05T00:00:00"/>
    <d v="2017-05-05T00:00:00"/>
    <m/>
    <n v="14897.9"/>
    <x v="923"/>
    <x v="2"/>
  </r>
  <r>
    <x v="26"/>
    <s v="Emitida"/>
    <d v="2017-04-04T00:00:00"/>
    <d v="2017-04-04T00:00:00"/>
    <d v="2017-04-12T00:00:00"/>
    <m/>
    <n v="6354.4"/>
    <x v="924"/>
    <x v="2"/>
  </r>
  <r>
    <x v="2"/>
    <s v="Emitida"/>
    <d v="2017-04-03T00:00:00"/>
    <d v="2017-04-03T00:00:00"/>
    <d v="2017-05-03T00:00:00"/>
    <m/>
    <n v="2460"/>
    <x v="843"/>
    <x v="2"/>
  </r>
  <r>
    <x v="26"/>
    <s v="Emitida"/>
    <d v="2017-03-31T00:00:00"/>
    <d v="2017-03-31T00:00:00"/>
    <d v="2017-04-08T00:00:00"/>
    <m/>
    <n v="2586.85"/>
    <x v="925"/>
    <x v="2"/>
  </r>
  <r>
    <x v="26"/>
    <s v="Emitida"/>
    <d v="2017-03-31T00:00:00"/>
    <d v="2017-03-31T00:00:00"/>
    <d v="2017-04-08T00:00:00"/>
    <m/>
    <n v="4053.93"/>
    <x v="926"/>
    <x v="2"/>
  </r>
  <r>
    <x v="6"/>
    <s v="Emitida"/>
    <d v="2017-03-28T00:00:00"/>
    <d v="2017-03-28T00:00:00"/>
    <d v="2017-04-27T00:00:00"/>
    <m/>
    <n v="8446"/>
    <x v="927"/>
    <x v="2"/>
  </r>
  <r>
    <x v="6"/>
    <s v="Emitida"/>
    <d v="2017-03-28T00:00:00"/>
    <d v="2017-03-28T00:00:00"/>
    <d v="2017-04-27T00:00:00"/>
    <m/>
    <n v="27024"/>
    <x v="928"/>
    <x v="2"/>
  </r>
  <r>
    <x v="26"/>
    <s v="Emitida"/>
    <d v="2017-03-23T00:00:00"/>
    <d v="2017-03-23T00:00:00"/>
    <d v="2017-03-31T00:00:00"/>
    <m/>
    <n v="2995.68"/>
    <x v="929"/>
    <x v="2"/>
  </r>
  <r>
    <x v="26"/>
    <s v="Emitida"/>
    <d v="2017-03-23T00:00:00"/>
    <d v="2017-03-23T00:00:00"/>
    <d v="2017-03-31T00:00:00"/>
    <m/>
    <n v="7957.4"/>
    <x v="930"/>
    <x v="2"/>
  </r>
  <r>
    <x v="6"/>
    <s v="Emitida"/>
    <d v="2017-03-23T00:00:00"/>
    <d v="2017-03-23T00:00:00"/>
    <d v="2017-04-22T00:00:00"/>
    <m/>
    <n v="29480"/>
    <x v="102"/>
    <x v="2"/>
  </r>
  <r>
    <x v="6"/>
    <s v="Emitida"/>
    <d v="2017-03-23T00:00:00"/>
    <d v="2017-03-23T00:00:00"/>
    <d v="2017-04-22T00:00:00"/>
    <m/>
    <n v="46016"/>
    <x v="931"/>
    <x v="2"/>
  </r>
  <r>
    <x v="6"/>
    <s v="Emitida"/>
    <d v="2017-03-22T00:00:00"/>
    <d v="2017-03-22T00:00:00"/>
    <d v="2017-04-21T00:00:00"/>
    <m/>
    <n v="2145"/>
    <x v="932"/>
    <x v="2"/>
  </r>
  <r>
    <x v="46"/>
    <s v="Emitida"/>
    <d v="2017-03-17T00:00:00"/>
    <d v="2017-03-17T00:00:00"/>
    <d v="2017-03-17T00:00:00"/>
    <m/>
    <n v="1400"/>
    <x v="933"/>
    <x v="2"/>
  </r>
  <r>
    <x v="26"/>
    <s v="Emitida"/>
    <d v="2017-03-17T00:00:00"/>
    <d v="2017-03-17T00:00:00"/>
    <d v="2017-03-25T00:00:00"/>
    <m/>
    <n v="24950.400000000001"/>
    <x v="934"/>
    <x v="2"/>
  </r>
  <r>
    <x v="2"/>
    <s v="Emitida"/>
    <d v="2017-03-16T00:00:00"/>
    <d v="2017-03-16T00:00:00"/>
    <d v="2017-04-15T00:00:00"/>
    <m/>
    <n v="5950"/>
    <x v="935"/>
    <x v="2"/>
  </r>
  <r>
    <x v="6"/>
    <s v="Emitida"/>
    <d v="2017-03-15T00:00:00"/>
    <d v="2017-03-15T00:00:00"/>
    <d v="2017-04-14T00:00:00"/>
    <m/>
    <n v="3676"/>
    <x v="936"/>
    <x v="2"/>
  </r>
  <r>
    <x v="2"/>
    <s v="Emitida"/>
    <d v="2017-03-15T00:00:00"/>
    <d v="2017-03-15T00:00:00"/>
    <d v="2017-04-14T00:00:00"/>
    <m/>
    <n v="2247"/>
    <x v="669"/>
    <x v="2"/>
  </r>
  <r>
    <x v="47"/>
    <s v="Emitida"/>
    <d v="2017-03-15T00:00:00"/>
    <d v="2017-03-15T00:00:00"/>
    <d v="2017-03-30T00:00:00"/>
    <m/>
    <n v="24160"/>
    <x v="937"/>
    <x v="2"/>
  </r>
  <r>
    <x v="26"/>
    <s v="Emitida"/>
    <d v="2017-03-14T00:00:00"/>
    <d v="2017-03-14T00:00:00"/>
    <d v="2017-03-22T00:00:00"/>
    <m/>
    <n v="47088"/>
    <x v="938"/>
    <x v="2"/>
  </r>
  <r>
    <x v="6"/>
    <s v="Emitida"/>
    <d v="2017-03-14T00:00:00"/>
    <d v="2017-03-14T00:00:00"/>
    <d v="2017-04-13T00:00:00"/>
    <m/>
    <n v="2420"/>
    <x v="939"/>
    <x v="2"/>
  </r>
  <r>
    <x v="6"/>
    <s v="Emitida"/>
    <d v="2017-03-14T00:00:00"/>
    <d v="2017-03-14T00:00:00"/>
    <d v="2017-04-13T00:00:00"/>
    <m/>
    <n v="19328"/>
    <x v="940"/>
    <x v="2"/>
  </r>
  <r>
    <x v="26"/>
    <s v="Emitida"/>
    <d v="2017-03-14T00:00:00"/>
    <d v="2017-03-14T00:00:00"/>
    <d v="2017-03-22T00:00:00"/>
    <m/>
    <n v="9408"/>
    <x v="941"/>
    <x v="2"/>
  </r>
  <r>
    <x v="13"/>
    <s v="Emitida"/>
    <d v="2017-03-13T00:00:00"/>
    <d v="2017-03-13T00:00:00"/>
    <d v="2017-04-12T00:00:00"/>
    <m/>
    <n v="30487.5"/>
    <x v="942"/>
    <x v="2"/>
  </r>
  <r>
    <x v="28"/>
    <s v="Emitida"/>
    <d v="2017-03-13T00:00:00"/>
    <d v="2017-03-13T00:00:00"/>
    <d v="2017-03-15T00:00:00"/>
    <m/>
    <n v="1416"/>
    <x v="943"/>
    <x v="6"/>
  </r>
  <r>
    <x v="26"/>
    <s v="Emitida"/>
    <d v="2017-03-10T00:00:00"/>
    <d v="2017-03-10T00:00:00"/>
    <d v="2017-03-18T00:00:00"/>
    <m/>
    <n v="33908"/>
    <x v="944"/>
    <x v="2"/>
  </r>
  <r>
    <x v="2"/>
    <s v="Emitida"/>
    <d v="2017-03-06T00:00:00"/>
    <d v="2017-03-06T00:00:00"/>
    <d v="2017-04-05T00:00:00"/>
    <m/>
    <n v="4494"/>
    <x v="945"/>
    <x v="2"/>
  </r>
  <r>
    <x v="6"/>
    <s v="Emitida"/>
    <d v="2017-03-03T00:00:00"/>
    <d v="2017-03-03T00:00:00"/>
    <d v="2017-04-02T00:00:00"/>
    <m/>
    <n v="3872"/>
    <x v="946"/>
    <x v="2"/>
  </r>
  <r>
    <x v="22"/>
    <s v="Emitida"/>
    <d v="2017-03-03T00:00:00"/>
    <d v="2017-03-03T00:00:00"/>
    <d v="2017-03-18T00:00:00"/>
    <m/>
    <n v="5680"/>
    <x v="947"/>
    <x v="2"/>
  </r>
  <r>
    <x v="26"/>
    <s v="Emitida"/>
    <d v="2017-03-03T00:00:00"/>
    <d v="2017-03-03T00:00:00"/>
    <d v="2017-03-11T00:00:00"/>
    <m/>
    <n v="4759.2"/>
    <x v="948"/>
    <x v="2"/>
  </r>
  <r>
    <x v="6"/>
    <s v="Emitida"/>
    <d v="2017-03-01T00:00:00"/>
    <d v="2017-03-01T00:00:00"/>
    <d v="2017-03-31T00:00:00"/>
    <m/>
    <n v="8942"/>
    <x v="949"/>
    <x v="2"/>
  </r>
  <r>
    <x v="13"/>
    <s v="Emitida"/>
    <d v="2017-03-01T00:00:00"/>
    <d v="2017-03-01T00:00:00"/>
    <d v="2017-03-31T00:00:00"/>
    <m/>
    <n v="3930"/>
    <x v="950"/>
    <x v="2"/>
  </r>
  <r>
    <x v="26"/>
    <s v="Emitida"/>
    <d v="2017-02-28T00:00:00"/>
    <d v="2017-02-28T00:00:00"/>
    <d v="2017-03-08T00:00:00"/>
    <m/>
    <n v="70198.2"/>
    <x v="951"/>
    <x v="2"/>
  </r>
  <r>
    <x v="26"/>
    <s v="Emitida"/>
    <d v="2017-02-28T00:00:00"/>
    <d v="2017-02-28T00:00:00"/>
    <d v="2017-03-08T00:00:00"/>
    <m/>
    <n v="53541"/>
    <x v="952"/>
    <x v="2"/>
  </r>
  <r>
    <x v="26"/>
    <s v="Emitida"/>
    <d v="2017-02-28T00:00:00"/>
    <d v="2017-02-28T00:00:00"/>
    <d v="2017-03-08T00:00:00"/>
    <m/>
    <n v="1592.8"/>
    <x v="953"/>
    <x v="7"/>
  </r>
  <r>
    <x v="6"/>
    <s v="Emitida"/>
    <d v="2017-02-27T00:00:00"/>
    <d v="2017-02-27T00:00:00"/>
    <d v="2017-03-29T00:00:00"/>
    <m/>
    <n v="4303"/>
    <x v="954"/>
    <x v="7"/>
  </r>
  <r>
    <x v="2"/>
    <s v="Emitida"/>
    <d v="2017-02-27T00:00:00"/>
    <d v="2017-02-27T00:00:00"/>
    <d v="2017-03-29T00:00:00"/>
    <m/>
    <n v="854"/>
    <x v="955"/>
    <x v="7"/>
  </r>
  <r>
    <x v="10"/>
    <s v="Emitida"/>
    <d v="2017-02-24T00:00:00"/>
    <d v="2017-02-21T00:00:00"/>
    <d v="2017-04-25T00:00:00"/>
    <m/>
    <n v="79480.7"/>
    <x v="956"/>
    <x v="7"/>
  </r>
  <r>
    <x v="26"/>
    <s v="Emitida"/>
    <d v="2017-02-24T00:00:00"/>
    <d v="2017-02-24T00:00:00"/>
    <d v="2017-03-04T00:00:00"/>
    <m/>
    <n v="46410.2"/>
    <x v="957"/>
    <x v="7"/>
  </r>
  <r>
    <x v="8"/>
    <s v="Emitida"/>
    <d v="2017-02-23T00:00:00"/>
    <d v="2017-02-23T00:00:00"/>
    <d v="2017-04-09T00:00:00"/>
    <m/>
    <n v="15822"/>
    <x v="958"/>
    <x v="7"/>
  </r>
  <r>
    <x v="26"/>
    <s v="Emitida"/>
    <d v="2017-02-22T00:00:00"/>
    <d v="2017-02-22T00:00:00"/>
    <d v="2017-03-02T00:00:00"/>
    <m/>
    <n v="12123.5"/>
    <x v="959"/>
    <x v="7"/>
  </r>
  <r>
    <x v="13"/>
    <s v="Emitida"/>
    <d v="2017-02-22T00:00:00"/>
    <d v="2017-02-22T00:00:00"/>
    <d v="2017-03-24T00:00:00"/>
    <m/>
    <n v="17040"/>
    <x v="960"/>
    <x v="7"/>
  </r>
  <r>
    <x v="26"/>
    <s v="Emitida"/>
    <d v="2017-02-22T00:00:00"/>
    <d v="2017-02-22T00:00:00"/>
    <d v="2017-03-02T00:00:00"/>
    <m/>
    <n v="24098.3"/>
    <x v="961"/>
    <x v="7"/>
  </r>
  <r>
    <x v="24"/>
    <s v="Emitida"/>
    <d v="2017-02-17T00:00:00"/>
    <d v="2017-02-17T00:00:00"/>
    <d v="2017-02-25T00:00:00"/>
    <m/>
    <n v="1631"/>
    <x v="962"/>
    <x v="7"/>
  </r>
  <r>
    <x v="8"/>
    <s v="Emitida"/>
    <d v="2017-02-16T00:00:00"/>
    <d v="2017-02-16T00:00:00"/>
    <d v="2017-04-02T00:00:00"/>
    <m/>
    <n v="15134"/>
    <x v="963"/>
    <x v="7"/>
  </r>
  <r>
    <x v="6"/>
    <s v="Emitida"/>
    <d v="2017-02-15T00:00:00"/>
    <d v="2017-02-15T00:00:00"/>
    <d v="2017-03-17T00:00:00"/>
    <m/>
    <n v="9912"/>
    <x v="964"/>
    <x v="7"/>
  </r>
  <r>
    <x v="0"/>
    <s v="Emitida"/>
    <d v="2017-02-14T00:00:00"/>
    <d v="2017-02-14T00:00:00"/>
    <d v="2017-02-21T00:00:00"/>
    <m/>
    <n v="15882"/>
    <x v="965"/>
    <x v="7"/>
  </r>
  <r>
    <x v="2"/>
    <s v="Emitida"/>
    <d v="2017-02-10T00:00:00"/>
    <d v="2017-02-10T00:00:00"/>
    <d v="2017-03-12T00:00:00"/>
    <m/>
    <n v="6846"/>
    <x v="966"/>
    <x v="7"/>
  </r>
  <r>
    <x v="6"/>
    <s v="Emitida"/>
    <d v="2017-02-09T00:00:00"/>
    <d v="2017-02-09T00:00:00"/>
    <d v="2017-03-11T00:00:00"/>
    <m/>
    <n v="23616"/>
    <x v="967"/>
    <x v="7"/>
  </r>
  <r>
    <x v="26"/>
    <s v="Emitida"/>
    <d v="2017-02-07T00:00:00"/>
    <d v="2017-02-07T00:00:00"/>
    <d v="2017-02-15T00:00:00"/>
    <m/>
    <n v="9328.5"/>
    <x v="968"/>
    <x v="7"/>
  </r>
  <r>
    <x v="26"/>
    <s v="Emitida"/>
    <d v="2017-02-07T00:00:00"/>
    <d v="2017-02-07T00:00:00"/>
    <d v="2017-02-15T00:00:00"/>
    <m/>
    <n v="3731.4"/>
    <x v="969"/>
    <x v="7"/>
  </r>
  <r>
    <x v="26"/>
    <s v="Emitida"/>
    <d v="2017-02-07T00:00:00"/>
    <d v="2017-02-07T00:00:00"/>
    <d v="2017-02-15T00:00:00"/>
    <m/>
    <n v="31712.799999999999"/>
    <x v="970"/>
    <x v="7"/>
  </r>
  <r>
    <x v="13"/>
    <s v="Emitida"/>
    <d v="2017-02-03T00:00:00"/>
    <d v="2017-02-03T00:00:00"/>
    <d v="2017-03-05T00:00:00"/>
    <m/>
    <n v="19442"/>
    <x v="971"/>
    <x v="7"/>
  </r>
  <r>
    <x v="13"/>
    <s v="Emitida"/>
    <d v="2017-02-03T00:00:00"/>
    <d v="2017-02-03T00:00:00"/>
    <d v="2017-03-05T00:00:00"/>
    <m/>
    <n v="7305"/>
    <x v="972"/>
    <x v="7"/>
  </r>
  <r>
    <x v="5"/>
    <s v="Emitida"/>
    <d v="2017-02-02T00:00:00"/>
    <d v="2017-02-02T00:00:00"/>
    <d v="2017-03-19T00:00:00"/>
    <m/>
    <n v="23388.7"/>
    <x v="973"/>
    <x v="7"/>
  </r>
  <r>
    <x v="26"/>
    <s v="Emitida"/>
    <d v="2017-01-31T00:00:00"/>
    <d v="2017-01-31T00:00:00"/>
    <d v="2017-02-08T00:00:00"/>
    <m/>
    <n v="16605.8"/>
    <x v="974"/>
    <x v="7"/>
  </r>
  <r>
    <x v="6"/>
    <s v="Emitida"/>
    <d v="2017-01-30T00:00:00"/>
    <d v="2017-01-30T00:00:00"/>
    <d v="2017-03-01T00:00:00"/>
    <m/>
    <n v="1930"/>
    <x v="975"/>
    <x v="7"/>
  </r>
  <r>
    <x v="6"/>
    <s v="Emitida"/>
    <d v="2017-01-30T00:00:00"/>
    <d v="2017-01-30T00:00:00"/>
    <d v="2017-03-01T00:00:00"/>
    <m/>
    <n v="35125"/>
    <x v="976"/>
    <x v="7"/>
  </r>
  <r>
    <x v="26"/>
    <s v="Emitida"/>
    <d v="2017-01-26T00:00:00"/>
    <d v="2017-01-26T00:00:00"/>
    <d v="2017-02-03T00:00:00"/>
    <m/>
    <n v="8377.0400000000009"/>
    <x v="977"/>
    <x v="7"/>
  </r>
  <r>
    <x v="26"/>
    <s v="Emitida"/>
    <d v="2017-01-24T00:00:00"/>
    <d v="2017-01-24T00:00:00"/>
    <d v="2017-02-01T00:00:00"/>
    <m/>
    <n v="25336.9"/>
    <x v="978"/>
    <x v="7"/>
  </r>
  <r>
    <x v="6"/>
    <s v="Emitida"/>
    <d v="2017-01-24T00:00:00"/>
    <d v="2017-01-24T00:00:00"/>
    <d v="2017-02-23T00:00:00"/>
    <m/>
    <n v="2494"/>
    <x v="979"/>
    <x v="7"/>
  </r>
  <r>
    <x v="6"/>
    <s v="Emitida"/>
    <d v="2017-01-23T00:00:00"/>
    <d v="2017-01-23T00:00:00"/>
    <d v="2017-02-22T00:00:00"/>
    <m/>
    <n v="14740"/>
    <x v="130"/>
    <x v="7"/>
  </r>
  <r>
    <x v="6"/>
    <s v="Emitida"/>
    <d v="2017-01-23T00:00:00"/>
    <d v="2017-01-23T00:00:00"/>
    <d v="2017-02-22T00:00:00"/>
    <m/>
    <n v="47718"/>
    <x v="980"/>
    <x v="7"/>
  </r>
  <r>
    <x v="2"/>
    <s v="Emitida"/>
    <d v="2017-01-18T00:00:00"/>
    <d v="2017-01-18T00:00:00"/>
    <d v="2017-02-17T00:00:00"/>
    <m/>
    <n v="1836"/>
    <x v="981"/>
    <x v="7"/>
  </r>
  <r>
    <x v="10"/>
    <s v="Emitida"/>
    <d v="2017-01-17T00:00:00"/>
    <d v="2017-01-17T00:00:00"/>
    <d v="2017-03-18T00:00:00"/>
    <m/>
    <n v="17736.599999999999"/>
    <x v="982"/>
    <x v="7"/>
  </r>
  <r>
    <x v="8"/>
    <s v="Emitida"/>
    <d v="2017-01-13T00:00:00"/>
    <d v="2017-01-13T00:00:00"/>
    <d v="2017-02-27T00:00:00"/>
    <m/>
    <n v="12430"/>
    <x v="983"/>
    <x v="7"/>
  </r>
  <r>
    <x v="26"/>
    <s v="Emitida"/>
    <d v="2017-01-12T00:00:00"/>
    <d v="2017-01-12T00:00:00"/>
    <d v="2017-01-20T00:00:00"/>
    <m/>
    <n v="9339.84"/>
    <x v="984"/>
    <x v="7"/>
  </r>
  <r>
    <x v="26"/>
    <s v="Emitida"/>
    <d v="2017-01-12T00:00:00"/>
    <d v="2017-01-12T00:00:00"/>
    <d v="2017-01-20T00:00:00"/>
    <m/>
    <n v="1405.3"/>
    <x v="985"/>
    <x v="7"/>
  </r>
  <r>
    <x v="6"/>
    <s v="Emitida"/>
    <d v="2017-01-12T00:00:00"/>
    <d v="2017-01-12T00:00:00"/>
    <d v="2017-02-11T00:00:00"/>
    <m/>
    <n v="25338"/>
    <x v="986"/>
    <x v="7"/>
  </r>
  <r>
    <x v="6"/>
    <s v="Emitida"/>
    <d v="2017-01-12T00:00:00"/>
    <d v="2017-01-12T00:00:00"/>
    <d v="2017-02-11T00:00:00"/>
    <m/>
    <n v="42230"/>
    <x v="987"/>
    <x v="7"/>
  </r>
  <r>
    <x v="26"/>
    <s v="Emitida"/>
    <d v="2017-01-11T00:00:00"/>
    <d v="2017-01-11T00:00:00"/>
    <d v="2017-01-19T00:00:00"/>
    <m/>
    <n v="26172.400000000001"/>
    <x v="988"/>
    <x v="7"/>
  </r>
  <r>
    <x v="26"/>
    <s v="Emitida"/>
    <d v="2017-01-10T00:00:00"/>
    <d v="2017-01-10T00:00:00"/>
    <d v="2017-01-18T00:00:00"/>
    <m/>
    <n v="41371.199999999997"/>
    <x v="989"/>
    <x v="7"/>
  </r>
  <r>
    <x v="26"/>
    <s v="Emitida"/>
    <d v="2017-01-10T00:00:00"/>
    <d v="2017-01-10T00:00:00"/>
    <d v="2017-01-18T00:00:00"/>
    <m/>
    <n v="10213.4"/>
    <x v="990"/>
    <x v="7"/>
  </r>
  <r>
    <x v="26"/>
    <s v="Emitida"/>
    <d v="2017-01-03T00:00:00"/>
    <d v="2017-01-03T00:00:00"/>
    <d v="2017-01-11T00:00:00"/>
    <m/>
    <n v="2642.66"/>
    <x v="991"/>
    <x v="7"/>
  </r>
  <r>
    <x v="26"/>
    <s v="Emitida"/>
    <d v="2017-01-03T00:00:00"/>
    <d v="2017-01-03T00:00:00"/>
    <d v="2017-01-11T00:00:00"/>
    <m/>
    <n v="2642.66"/>
    <x v="991"/>
    <x v="7"/>
  </r>
  <r>
    <x v="26"/>
    <s v="Emitida"/>
    <d v="2017-01-03T00:00:00"/>
    <d v="2017-01-03T00:00:00"/>
    <d v="2017-01-11T00:00:00"/>
    <m/>
    <n v="5938.56"/>
    <x v="992"/>
    <x v="7"/>
  </r>
  <r>
    <x v="26"/>
    <s v="Emitida"/>
    <d v="2017-01-03T00:00:00"/>
    <d v="2017-01-03T00:00:00"/>
    <d v="2017-01-11T00:00:00"/>
    <m/>
    <n v="13089.5"/>
    <x v="993"/>
    <x v="7"/>
  </r>
  <r>
    <x v="29"/>
    <s v="Emitida"/>
    <d v="2017-01-03T00:00:00"/>
    <d v="2017-01-03T00:00:00"/>
    <d v="2017-01-10T00:00:00"/>
    <m/>
    <n v="10578"/>
    <x v="994"/>
    <x v="8"/>
  </r>
  <r>
    <x v="6"/>
    <s v="Emitida"/>
    <d v="2017-01-03T00:00:00"/>
    <d v="2017-01-03T00:00:00"/>
    <d v="2017-02-02T00:00:00"/>
    <m/>
    <n v="23616"/>
    <x v="967"/>
    <x v="7"/>
  </r>
  <r>
    <x v="6"/>
    <s v="Emitida"/>
    <d v="2017-01-02T00:00:00"/>
    <d v="2017-01-02T00:00:00"/>
    <d v="2017-02-01T00:00:00"/>
    <m/>
    <n v="5591"/>
    <x v="995"/>
    <x v="7"/>
  </r>
  <r>
    <x v="22"/>
    <s v="Emitida"/>
    <d v="2016-12-23T00:00:00"/>
    <d v="2016-12-22T00:00:00"/>
    <d v="2017-01-07T00:00:00"/>
    <m/>
    <n v="1250"/>
    <x v="424"/>
    <x v="7"/>
  </r>
  <r>
    <x v="8"/>
    <s v="Emitida"/>
    <d v="2016-12-23T00:00:00"/>
    <d v="2016-12-23T00:00:00"/>
    <d v="2017-02-06T00:00:00"/>
    <m/>
    <n v="22128"/>
    <x v="996"/>
    <x v="7"/>
  </r>
  <r>
    <x v="13"/>
    <s v="Emitida"/>
    <d v="2016-12-23T00:00:00"/>
    <d v="2016-12-23T00:00:00"/>
    <d v="2017-01-22T00:00:00"/>
    <m/>
    <n v="18886"/>
    <x v="997"/>
    <x v="7"/>
  </r>
  <r>
    <x v="2"/>
    <s v="Emitida"/>
    <d v="2016-12-23T00:00:00"/>
    <d v="2016-12-23T00:00:00"/>
    <d v="2017-01-22T00:00:00"/>
    <m/>
    <n v="2117"/>
    <x v="998"/>
    <x v="7"/>
  </r>
  <r>
    <x v="26"/>
    <s v="Emitida"/>
    <d v="2016-12-22T00:00:00"/>
    <d v="2016-12-22T00:00:00"/>
    <d v="2016-12-30T00:00:00"/>
    <m/>
    <n v="21306.400000000001"/>
    <x v="999"/>
    <x v="7"/>
  </r>
  <r>
    <x v="48"/>
    <s v="Emitida"/>
    <d v="2016-12-21T00:00:00"/>
    <d v="2016-12-21T00:00:00"/>
    <d v="2016-12-29T00:00:00"/>
    <m/>
    <n v="2400"/>
    <x v="1000"/>
    <x v="4"/>
  </r>
  <r>
    <x v="26"/>
    <s v="Emitida"/>
    <d v="2016-12-19T00:00:00"/>
    <d v="2016-12-19T00:00:00"/>
    <d v="2016-12-27T00:00:00"/>
    <m/>
    <n v="38550.400000000001"/>
    <x v="1001"/>
    <x v="7"/>
  </r>
  <r>
    <x v="26"/>
    <s v="Emitida"/>
    <d v="2016-12-16T00:00:00"/>
    <d v="2016-12-16T00:00:00"/>
    <d v="2016-12-24T00:00:00"/>
    <m/>
    <n v="3239.24"/>
    <x v="1002"/>
    <x v="7"/>
  </r>
  <r>
    <x v="26"/>
    <s v="Emitida"/>
    <d v="2016-12-16T00:00:00"/>
    <d v="2016-12-16T00:00:00"/>
    <d v="2016-12-24T00:00:00"/>
    <m/>
    <n v="9705.6"/>
    <x v="1003"/>
    <x v="7"/>
  </r>
  <r>
    <x v="6"/>
    <s v="Emitida"/>
    <d v="2016-12-15T00:00:00"/>
    <d v="2016-12-15T00:00:00"/>
    <d v="2017-01-14T00:00:00"/>
    <m/>
    <n v="27955"/>
    <x v="1004"/>
    <x v="7"/>
  </r>
  <r>
    <x v="2"/>
    <s v="Emitida"/>
    <d v="2016-12-15T00:00:00"/>
    <d v="2016-12-15T00:00:00"/>
    <d v="2017-01-14T00:00:00"/>
    <m/>
    <n v="19839"/>
    <x v="1005"/>
    <x v="7"/>
  </r>
  <r>
    <x v="6"/>
    <s v="Emitida"/>
    <d v="2016-12-15T00:00:00"/>
    <d v="2016-12-15T00:00:00"/>
    <d v="2017-01-14T00:00:00"/>
    <m/>
    <n v="27027"/>
    <x v="1006"/>
    <x v="7"/>
  </r>
  <r>
    <x v="6"/>
    <s v="Emitida"/>
    <d v="2016-12-15T00:00:00"/>
    <d v="2016-12-15T00:00:00"/>
    <d v="2017-01-14T00:00:00"/>
    <m/>
    <n v="8446"/>
    <x v="927"/>
    <x v="7"/>
  </r>
  <r>
    <x v="6"/>
    <s v="Emitida"/>
    <d v="2016-12-15T00:00:00"/>
    <d v="2016-12-15T00:00:00"/>
    <d v="2017-01-14T00:00:00"/>
    <m/>
    <n v="47719"/>
    <x v="1007"/>
    <x v="7"/>
  </r>
  <r>
    <x v="6"/>
    <s v="Emitida"/>
    <d v="2016-12-15T00:00:00"/>
    <d v="2016-12-15T00:00:00"/>
    <d v="2017-01-14T00:00:00"/>
    <m/>
    <n v="47719"/>
    <x v="1007"/>
    <x v="7"/>
  </r>
  <r>
    <x v="6"/>
    <s v="Emitida"/>
    <d v="2016-12-15T00:00:00"/>
    <d v="2016-12-15T00:00:00"/>
    <d v="2017-01-14T00:00:00"/>
    <m/>
    <n v="47719"/>
    <x v="1007"/>
    <x v="7"/>
  </r>
  <r>
    <x v="26"/>
    <s v="Emitida"/>
    <d v="2016-12-15T00:00:00"/>
    <d v="2016-12-15T00:00:00"/>
    <d v="2016-12-23T00:00:00"/>
    <m/>
    <n v="54203.9"/>
    <x v="1008"/>
    <x v="7"/>
  </r>
  <r>
    <x v="26"/>
    <s v="Emitida"/>
    <d v="2016-12-15T00:00:00"/>
    <d v="2016-12-15T00:00:00"/>
    <d v="2016-12-23T00:00:00"/>
    <m/>
    <n v="11238.7"/>
    <x v="1009"/>
    <x v="7"/>
  </r>
  <r>
    <x v="6"/>
    <s v="Emitida"/>
    <d v="2016-12-15T00:00:00"/>
    <d v="2016-12-15T00:00:00"/>
    <d v="2017-01-14T00:00:00"/>
    <m/>
    <n v="45788"/>
    <x v="1010"/>
    <x v="7"/>
  </r>
  <r>
    <x v="8"/>
    <s v="Emitida"/>
    <d v="2016-12-13T00:00:00"/>
    <d v="2016-12-13T00:00:00"/>
    <d v="2017-01-27T00:00:00"/>
    <m/>
    <n v="35526.800000000003"/>
    <x v="1011"/>
    <x v="7"/>
  </r>
  <r>
    <x v="38"/>
    <s v="Emitida"/>
    <d v="2016-12-13T00:00:00"/>
    <d v="2016-12-13T00:00:00"/>
    <d v="2016-12-13T00:00:00"/>
    <m/>
    <n v="1266.04"/>
    <x v="1012"/>
    <x v="7"/>
  </r>
  <r>
    <x v="10"/>
    <s v="Emitida"/>
    <d v="2016-12-08T00:00:00"/>
    <d v="2016-12-08T00:00:00"/>
    <d v="2017-02-06T00:00:00"/>
    <m/>
    <n v="58723.199999999997"/>
    <x v="1013"/>
    <x v="7"/>
  </r>
  <r>
    <x v="10"/>
    <s v="Emitida"/>
    <d v="2016-12-08T00:00:00"/>
    <d v="2016-12-08T00:00:00"/>
    <d v="2017-02-06T00:00:00"/>
    <m/>
    <n v="138774"/>
    <x v="1014"/>
    <x v="7"/>
  </r>
  <r>
    <x v="10"/>
    <s v="Emitida"/>
    <d v="2016-12-08T00:00:00"/>
    <d v="2016-12-08T00:00:00"/>
    <d v="2017-02-06T00:00:00"/>
    <m/>
    <n v="8680"/>
    <x v="1015"/>
    <x v="7"/>
  </r>
  <r>
    <x v="26"/>
    <s v="Emitida"/>
    <d v="2016-12-07T00:00:00"/>
    <d v="2016-12-07T00:00:00"/>
    <d v="2016-12-15T00:00:00"/>
    <m/>
    <n v="28611.7"/>
    <x v="1016"/>
    <x v="7"/>
  </r>
  <r>
    <x v="26"/>
    <s v="Emitida"/>
    <d v="2016-12-07T00:00:00"/>
    <d v="2016-12-07T00:00:00"/>
    <d v="2016-12-15T00:00:00"/>
    <m/>
    <n v="2141.5700000000002"/>
    <x v="1017"/>
    <x v="7"/>
  </r>
  <r>
    <x v="6"/>
    <s v="Emitida"/>
    <d v="2016-12-06T00:00:00"/>
    <d v="2016-12-06T00:00:00"/>
    <d v="2017-01-05T00:00:00"/>
    <m/>
    <n v="36538"/>
    <x v="1018"/>
    <x v="7"/>
  </r>
  <r>
    <x v="6"/>
    <s v="Emitida"/>
    <d v="2016-12-06T00:00:00"/>
    <d v="2016-12-06T00:00:00"/>
    <d v="2017-01-05T00:00:00"/>
    <m/>
    <n v="46976.7"/>
    <x v="1019"/>
    <x v="7"/>
  </r>
  <r>
    <x v="6"/>
    <s v="Emitida"/>
    <d v="2016-12-06T00:00:00"/>
    <d v="2016-12-06T00:00:00"/>
    <d v="2017-01-05T00:00:00"/>
    <m/>
    <n v="46976.7"/>
    <x v="1019"/>
    <x v="7"/>
  </r>
  <r>
    <x v="6"/>
    <s v="Emitida"/>
    <d v="2016-12-06T00:00:00"/>
    <d v="2016-12-06T00:00:00"/>
    <d v="2017-01-05T00:00:00"/>
    <m/>
    <n v="46976.7"/>
    <x v="1019"/>
    <x v="7"/>
  </r>
  <r>
    <x v="26"/>
    <s v="Emitida"/>
    <d v="2016-12-06T00:00:00"/>
    <d v="2016-12-06T00:00:00"/>
    <d v="2016-12-14T00:00:00"/>
    <m/>
    <n v="6322.73"/>
    <x v="1020"/>
    <x v="7"/>
  </r>
  <r>
    <x v="26"/>
    <s v="Emitida"/>
    <d v="2016-12-05T00:00:00"/>
    <d v="2016-12-05T00:00:00"/>
    <d v="2016-12-13T00:00:00"/>
    <m/>
    <n v="15071.1"/>
    <x v="1021"/>
    <x v="7"/>
  </r>
  <r>
    <x v="13"/>
    <s v="Emitida"/>
    <d v="2016-12-05T00:00:00"/>
    <d v="2016-12-05T00:00:00"/>
    <d v="2017-01-04T00:00:00"/>
    <m/>
    <n v="28470"/>
    <x v="1022"/>
    <x v="7"/>
  </r>
  <r>
    <x v="26"/>
    <s v="Emitida"/>
    <d v="2016-12-05T00:00:00"/>
    <d v="2016-12-05T00:00:00"/>
    <d v="2016-12-13T00:00:00"/>
    <m/>
    <n v="996"/>
    <x v="1023"/>
    <x v="7"/>
  </r>
  <r>
    <x v="36"/>
    <s v="Emitida"/>
    <d v="2016-12-05T00:00:00"/>
    <d v="2016-12-05T00:00:00"/>
    <d v="2016-12-12T00:00:00"/>
    <m/>
    <n v="11238"/>
    <x v="1024"/>
    <x v="9"/>
  </r>
  <r>
    <x v="22"/>
    <s v="Emitida"/>
    <d v="2016-12-05T00:00:00"/>
    <d v="2016-12-05T00:00:00"/>
    <d v="2016-12-20T00:00:00"/>
    <m/>
    <n v="4416"/>
    <x v="1025"/>
    <x v="7"/>
  </r>
  <r>
    <x v="6"/>
    <s v="Emitida"/>
    <d v="2016-12-02T00:00:00"/>
    <d v="2016-12-02T00:00:00"/>
    <d v="2017-01-01T00:00:00"/>
    <m/>
    <n v="8640"/>
    <x v="1026"/>
    <x v="7"/>
  </r>
  <r>
    <x v="28"/>
    <s v="Emitida"/>
    <d v="2016-12-01T00:00:00"/>
    <d v="2016-12-01T00:00:00"/>
    <d v="2016-12-03T00:00:00"/>
    <m/>
    <n v="430"/>
    <x v="1027"/>
    <x v="8"/>
  </r>
  <r>
    <x v="26"/>
    <s v="Emitida"/>
    <d v="2016-12-01T00:00:00"/>
    <d v="2016-12-01T00:00:00"/>
    <d v="2016-12-09T00:00:00"/>
    <m/>
    <n v="880.89"/>
    <x v="1028"/>
    <x v="7"/>
  </r>
  <r>
    <x v="26"/>
    <s v="Emitida"/>
    <d v="2016-12-01T00:00:00"/>
    <d v="2016-12-01T00:00:00"/>
    <d v="2016-12-09T00:00:00"/>
    <m/>
    <n v="12643.9"/>
    <x v="777"/>
    <x v="7"/>
  </r>
  <r>
    <x v="26"/>
    <s v="Emitida"/>
    <d v="2016-11-30T00:00:00"/>
    <d v="2016-11-30T00:00:00"/>
    <d v="2016-12-08T00:00:00"/>
    <m/>
    <n v="5425.2"/>
    <x v="1029"/>
    <x v="7"/>
  </r>
  <r>
    <x v="49"/>
    <s v="Emitida"/>
    <d v="2016-11-29T00:00:00"/>
    <d v="2016-11-29T00:00:00"/>
    <d v="2016-12-14T00:00:00"/>
    <m/>
    <n v="4070"/>
    <x v="1030"/>
    <x v="7"/>
  </r>
  <r>
    <x v="6"/>
    <s v="Emitida"/>
    <d v="2016-11-28T00:00:00"/>
    <d v="2016-11-28T00:00:00"/>
    <d v="2016-12-28T00:00:00"/>
    <m/>
    <n v="2420"/>
    <x v="939"/>
    <x v="7"/>
  </r>
  <r>
    <x v="26"/>
    <s v="Emitida"/>
    <d v="2016-11-28T00:00:00"/>
    <d v="2016-11-28T00:00:00"/>
    <d v="2016-12-06T00:00:00"/>
    <m/>
    <n v="7435.65"/>
    <x v="1031"/>
    <x v="7"/>
  </r>
  <r>
    <x v="2"/>
    <s v="Emitida"/>
    <d v="2016-11-28T00:00:00"/>
    <d v="2016-11-28T00:00:00"/>
    <d v="2016-12-28T00:00:00"/>
    <m/>
    <n v="7910"/>
    <x v="1032"/>
    <x v="7"/>
  </r>
  <r>
    <x v="6"/>
    <s v="Emitida"/>
    <d v="2016-11-24T00:00:00"/>
    <d v="2016-11-24T00:00:00"/>
    <d v="2016-12-24T00:00:00"/>
    <m/>
    <n v="2124"/>
    <x v="1033"/>
    <x v="7"/>
  </r>
  <r>
    <x v="26"/>
    <s v="Emitida"/>
    <d v="2016-11-24T00:00:00"/>
    <d v="2016-11-24T00:00:00"/>
    <d v="2016-12-02T00:00:00"/>
    <m/>
    <n v="5909.76"/>
    <x v="1034"/>
    <x v="7"/>
  </r>
  <r>
    <x v="26"/>
    <s v="Emitida"/>
    <d v="2016-11-24T00:00:00"/>
    <d v="2016-11-24T00:00:00"/>
    <d v="2016-12-02T00:00:00"/>
    <m/>
    <n v="60192.5"/>
    <x v="1035"/>
    <x v="7"/>
  </r>
  <r>
    <x v="12"/>
    <s v="Emitida"/>
    <d v="2016-11-24T00:00:00"/>
    <d v="2016-11-24T00:00:00"/>
    <d v="2016-11-24T00:00:00"/>
    <m/>
    <n v="1900"/>
    <x v="99"/>
    <x v="7"/>
  </r>
  <r>
    <x v="6"/>
    <s v="Emitida"/>
    <d v="2016-11-23T00:00:00"/>
    <d v="2016-11-23T00:00:00"/>
    <d v="2016-12-23T00:00:00"/>
    <m/>
    <n v="16340"/>
    <x v="1036"/>
    <x v="7"/>
  </r>
  <r>
    <x v="6"/>
    <s v="Emitida"/>
    <d v="2016-11-23T00:00:00"/>
    <d v="2016-11-23T00:00:00"/>
    <d v="2016-12-23T00:00:00"/>
    <m/>
    <n v="55257"/>
    <x v="1037"/>
    <x v="7"/>
  </r>
  <r>
    <x v="26"/>
    <s v="Emitida"/>
    <d v="2016-11-23T00:00:00"/>
    <d v="2016-11-23T00:00:00"/>
    <d v="2016-12-01T00:00:00"/>
    <m/>
    <n v="2053.84"/>
    <x v="1038"/>
    <x v="7"/>
  </r>
  <r>
    <x v="13"/>
    <s v="Emitida"/>
    <d v="2016-11-23T00:00:00"/>
    <d v="2016-11-23T00:00:00"/>
    <d v="2016-12-23T00:00:00"/>
    <m/>
    <n v="24484"/>
    <x v="544"/>
    <x v="7"/>
  </r>
  <r>
    <x v="26"/>
    <s v="Emitida"/>
    <d v="2016-11-22T00:00:00"/>
    <d v="2016-11-22T00:00:00"/>
    <d v="2016-11-30T00:00:00"/>
    <m/>
    <n v="22986.7"/>
    <x v="1039"/>
    <x v="7"/>
  </r>
  <r>
    <x v="6"/>
    <s v="Emitida"/>
    <d v="2016-11-15T00:00:00"/>
    <d v="2016-11-15T00:00:00"/>
    <d v="2016-12-15T00:00:00"/>
    <m/>
    <n v="5220"/>
    <x v="1040"/>
    <x v="7"/>
  </r>
  <r>
    <x v="22"/>
    <s v="Emitida"/>
    <d v="2016-11-15T00:00:00"/>
    <d v="2016-11-15T00:00:00"/>
    <d v="2016-11-30T00:00:00"/>
    <m/>
    <n v="13800"/>
    <x v="1041"/>
    <x v="7"/>
  </r>
  <r>
    <x v="6"/>
    <s v="Emitida"/>
    <d v="2016-11-14T00:00:00"/>
    <d v="2016-11-14T00:00:00"/>
    <d v="2016-12-14T00:00:00"/>
    <m/>
    <n v="1696"/>
    <x v="1042"/>
    <x v="7"/>
  </r>
  <r>
    <x v="6"/>
    <s v="Emitida"/>
    <d v="2016-11-14T00:00:00"/>
    <d v="2016-11-14T00:00:00"/>
    <d v="2016-12-14T00:00:00"/>
    <m/>
    <n v="24204"/>
    <x v="1043"/>
    <x v="7"/>
  </r>
  <r>
    <x v="50"/>
    <s v="Emitida"/>
    <d v="2016-11-10T00:00:00"/>
    <d v="2016-11-10T00:00:00"/>
    <d v="2016-11-10T00:00:00"/>
    <m/>
    <n v="54310.3"/>
    <x v="1044"/>
    <x v="9"/>
  </r>
  <r>
    <x v="8"/>
    <s v="Emitida"/>
    <d v="2016-11-09T00:00:00"/>
    <d v="2016-11-09T00:00:00"/>
    <d v="2016-12-24T00:00:00"/>
    <m/>
    <n v="19146"/>
    <x v="1045"/>
    <x v="7"/>
  </r>
  <r>
    <x v="29"/>
    <s v="Emitida"/>
    <d v="2016-11-08T00:00:00"/>
    <d v="2016-11-08T00:00:00"/>
    <d v="2016-11-15T00:00:00"/>
    <m/>
    <n v="77064.100000000006"/>
    <x v="1046"/>
    <x v="8"/>
  </r>
  <r>
    <x v="6"/>
    <s v="Emitida"/>
    <d v="2016-11-03T00:00:00"/>
    <d v="2016-11-03T00:00:00"/>
    <d v="2016-12-03T00:00:00"/>
    <m/>
    <n v="2700"/>
    <x v="1047"/>
    <x v="7"/>
  </r>
  <r>
    <x v="6"/>
    <s v="Emitida"/>
    <d v="2016-11-03T00:00:00"/>
    <d v="2016-11-03T00:00:00"/>
    <d v="2016-12-03T00:00:00"/>
    <m/>
    <n v="25766"/>
    <x v="1048"/>
    <x v="7"/>
  </r>
  <r>
    <x v="6"/>
    <s v="Emitida"/>
    <d v="2016-11-03T00:00:00"/>
    <d v="2016-11-03T00:00:00"/>
    <d v="2016-12-03T00:00:00"/>
    <m/>
    <n v="42642"/>
    <x v="1049"/>
    <x v="7"/>
  </r>
  <r>
    <x v="6"/>
    <s v="Emitida"/>
    <d v="2016-11-03T00:00:00"/>
    <d v="2016-11-03T00:00:00"/>
    <d v="2016-12-03T00:00:00"/>
    <m/>
    <n v="19457"/>
    <x v="1050"/>
    <x v="7"/>
  </r>
  <r>
    <x v="13"/>
    <s v="Emitida"/>
    <d v="2016-11-01T00:00:00"/>
    <d v="2016-11-01T00:00:00"/>
    <d v="2016-12-01T00:00:00"/>
    <m/>
    <n v="9264"/>
    <x v="1051"/>
    <x v="7"/>
  </r>
  <r>
    <x v="2"/>
    <s v="Emitida"/>
    <d v="2016-10-31T00:00:00"/>
    <d v="2016-10-31T00:00:00"/>
    <d v="2016-11-30T00:00:00"/>
    <m/>
    <n v="1944"/>
    <x v="1052"/>
    <x v="7"/>
  </r>
  <r>
    <x v="6"/>
    <s v="Emitida"/>
    <d v="2016-10-31T00:00:00"/>
    <d v="2016-10-31T00:00:00"/>
    <d v="2016-11-30T00:00:00"/>
    <m/>
    <n v="5612"/>
    <x v="264"/>
    <x v="7"/>
  </r>
  <r>
    <x v="51"/>
    <s v="Emitida"/>
    <d v="2016-10-28T00:00:00"/>
    <d v="2016-10-28T00:00:00"/>
    <d v="2016-11-12T00:00:00"/>
    <m/>
    <n v="25340"/>
    <x v="1053"/>
    <x v="8"/>
  </r>
  <r>
    <x v="26"/>
    <s v="Emitida"/>
    <d v="2016-10-28T00:00:00"/>
    <d v="2016-10-28T00:00:00"/>
    <d v="2016-11-05T00:00:00"/>
    <m/>
    <n v="20097.2"/>
    <x v="1054"/>
    <x v="7"/>
  </r>
  <r>
    <x v="6"/>
    <s v="Emitida"/>
    <d v="2016-10-26T00:00:00"/>
    <d v="2016-10-26T00:00:00"/>
    <d v="2016-11-25T00:00:00"/>
    <m/>
    <n v="2874"/>
    <x v="1055"/>
    <x v="7"/>
  </r>
  <r>
    <x v="28"/>
    <s v="Emitida"/>
    <d v="2016-10-26T00:00:00"/>
    <d v="2016-10-26T00:00:00"/>
    <d v="2016-10-28T00:00:00"/>
    <m/>
    <n v="2144"/>
    <x v="1056"/>
    <x v="8"/>
  </r>
  <r>
    <x v="6"/>
    <s v="Emitida"/>
    <d v="2016-10-25T00:00:00"/>
    <d v="2016-10-25T00:00:00"/>
    <d v="2016-11-24T00:00:00"/>
    <m/>
    <n v="3031"/>
    <x v="1057"/>
    <x v="7"/>
  </r>
  <r>
    <x v="22"/>
    <s v="Emitida"/>
    <d v="2016-10-24T00:00:00"/>
    <d v="2016-10-24T00:00:00"/>
    <d v="2016-11-08T00:00:00"/>
    <m/>
    <n v="765"/>
    <x v="1058"/>
    <x v="7"/>
  </r>
  <r>
    <x v="13"/>
    <s v="Emitida"/>
    <d v="2016-10-24T00:00:00"/>
    <d v="2016-10-24T00:00:00"/>
    <d v="2016-11-23T00:00:00"/>
    <m/>
    <n v="19026.099999999999"/>
    <x v="1059"/>
    <x v="7"/>
  </r>
  <r>
    <x v="36"/>
    <s v="Emitida"/>
    <d v="2016-10-20T00:00:00"/>
    <d v="2016-10-20T00:00:00"/>
    <d v="2016-10-27T00:00:00"/>
    <m/>
    <n v="532"/>
    <x v="1060"/>
    <x v="9"/>
  </r>
  <r>
    <x v="6"/>
    <s v="Emitida"/>
    <d v="2016-10-19T00:00:00"/>
    <d v="2016-10-18T00:00:00"/>
    <d v="2016-11-18T00:00:00"/>
    <m/>
    <n v="747"/>
    <x v="1061"/>
    <x v="7"/>
  </r>
  <r>
    <x v="26"/>
    <s v="Emitida"/>
    <d v="2016-10-18T00:00:00"/>
    <d v="2016-10-18T00:00:00"/>
    <d v="2016-10-26T00:00:00"/>
    <m/>
    <n v="30881.599999999999"/>
    <x v="1062"/>
    <x v="7"/>
  </r>
  <r>
    <x v="6"/>
    <s v="Emitida"/>
    <d v="2016-10-14T00:00:00"/>
    <d v="2016-10-14T00:00:00"/>
    <d v="2016-11-13T00:00:00"/>
    <m/>
    <n v="2520"/>
    <x v="1063"/>
    <x v="7"/>
  </r>
  <r>
    <x v="26"/>
    <s v="Emitida"/>
    <d v="2016-10-12T00:00:00"/>
    <d v="2016-10-12T00:00:00"/>
    <d v="2016-10-20T00:00:00"/>
    <m/>
    <n v="16055.1"/>
    <x v="1064"/>
    <x v="7"/>
  </r>
  <r>
    <x v="2"/>
    <s v="Emitida"/>
    <d v="2016-10-12T00:00:00"/>
    <d v="2016-10-12T00:00:00"/>
    <d v="2016-11-11T00:00:00"/>
    <m/>
    <n v="14616"/>
    <x v="1065"/>
    <x v="7"/>
  </r>
  <r>
    <x v="26"/>
    <s v="Emitida"/>
    <d v="2016-10-11T00:00:00"/>
    <d v="2016-10-11T00:00:00"/>
    <d v="2016-10-19T00:00:00"/>
    <m/>
    <n v="33472.9"/>
    <x v="1066"/>
    <x v="7"/>
  </r>
  <r>
    <x v="13"/>
    <s v="Emitida"/>
    <d v="2016-10-10T00:00:00"/>
    <d v="2016-10-10T00:00:00"/>
    <d v="2016-11-09T00:00:00"/>
    <m/>
    <n v="14042"/>
    <x v="1067"/>
    <x v="7"/>
  </r>
  <r>
    <x v="26"/>
    <s v="Emitida"/>
    <d v="2016-10-10T00:00:00"/>
    <d v="2016-10-10T00:00:00"/>
    <d v="2016-10-18T00:00:00"/>
    <m/>
    <n v="47572.800000000003"/>
    <x v="1068"/>
    <x v="7"/>
  </r>
  <r>
    <x v="26"/>
    <s v="Emitida"/>
    <d v="2016-10-10T00:00:00"/>
    <d v="2016-10-10T00:00:00"/>
    <d v="2016-10-18T00:00:00"/>
    <m/>
    <n v="3109.95"/>
    <x v="1069"/>
    <x v="7"/>
  </r>
  <r>
    <x v="26"/>
    <s v="Emitida"/>
    <d v="2016-10-10T00:00:00"/>
    <d v="2016-10-10T00:00:00"/>
    <d v="2016-10-18T00:00:00"/>
    <m/>
    <n v="2111.7800000000002"/>
    <x v="1070"/>
    <x v="7"/>
  </r>
  <r>
    <x v="24"/>
    <s v="Emitida"/>
    <d v="2016-10-10T00:00:00"/>
    <d v="2016-10-10T00:00:00"/>
    <d v="2016-10-18T00:00:00"/>
    <m/>
    <n v="10525.2"/>
    <x v="1071"/>
    <x v="7"/>
  </r>
  <r>
    <x v="6"/>
    <s v="Emitida"/>
    <d v="2016-10-10T00:00:00"/>
    <d v="2016-10-10T00:00:00"/>
    <d v="2016-11-09T00:00:00"/>
    <m/>
    <n v="21993"/>
    <x v="1072"/>
    <x v="7"/>
  </r>
  <r>
    <x v="29"/>
    <s v="Emitida"/>
    <d v="2016-10-03T00:00:00"/>
    <d v="2016-10-03T00:00:00"/>
    <d v="2016-10-10T00:00:00"/>
    <m/>
    <n v="16066"/>
    <x v="1073"/>
    <x v="8"/>
  </r>
  <r>
    <x v="26"/>
    <s v="Emitida"/>
    <d v="2016-10-03T00:00:00"/>
    <d v="2016-10-03T00:00:00"/>
    <d v="2016-10-11T00:00:00"/>
    <m/>
    <n v="70436.899999999994"/>
    <x v="1074"/>
    <x v="7"/>
  </r>
  <r>
    <x v="6"/>
    <s v="Emitida"/>
    <d v="2016-09-30T00:00:00"/>
    <d v="2016-09-30T00:00:00"/>
    <d v="2016-10-30T00:00:00"/>
    <m/>
    <n v="1162"/>
    <x v="1075"/>
    <x v="7"/>
  </r>
  <r>
    <x v="2"/>
    <s v="Emitida"/>
    <d v="2016-09-29T00:00:00"/>
    <d v="2016-09-29T00:00:00"/>
    <d v="2016-10-29T00:00:00"/>
    <m/>
    <n v="9550"/>
    <x v="1076"/>
    <x v="7"/>
  </r>
  <r>
    <x v="26"/>
    <s v="Emitida"/>
    <d v="2016-09-28T00:00:00"/>
    <d v="2016-09-28T00:00:00"/>
    <d v="2016-10-06T00:00:00"/>
    <m/>
    <n v="28208.9"/>
    <x v="1077"/>
    <x v="7"/>
  </r>
  <r>
    <x v="26"/>
    <s v="Emitida"/>
    <d v="2016-09-27T00:00:00"/>
    <d v="2016-09-27T00:00:00"/>
    <d v="2016-10-05T00:00:00"/>
    <m/>
    <n v="49282.6"/>
    <x v="1078"/>
    <x v="7"/>
  </r>
  <r>
    <x v="22"/>
    <s v="Emitida"/>
    <d v="2016-09-26T00:00:00"/>
    <d v="2016-09-26T00:00:00"/>
    <d v="2016-10-11T00:00:00"/>
    <m/>
    <n v="1410"/>
    <x v="1079"/>
    <x v="7"/>
  </r>
  <r>
    <x v="6"/>
    <s v="Emitida"/>
    <d v="2016-09-21T00:00:00"/>
    <d v="2016-09-21T00:00:00"/>
    <d v="2016-10-21T00:00:00"/>
    <m/>
    <n v="2700"/>
    <x v="1047"/>
    <x v="7"/>
  </r>
  <r>
    <x v="13"/>
    <s v="Emitida"/>
    <d v="2016-09-21T00:00:00"/>
    <d v="2016-09-21T00:00:00"/>
    <d v="2016-10-21T00:00:00"/>
    <m/>
    <n v="13494"/>
    <x v="1080"/>
    <x v="7"/>
  </r>
  <r>
    <x v="29"/>
    <s v="Emitida"/>
    <d v="2016-09-20T00:00:00"/>
    <d v="2016-09-20T00:00:00"/>
    <d v="2016-09-27T00:00:00"/>
    <m/>
    <n v="45030"/>
    <x v="1081"/>
    <x v="8"/>
  </r>
  <r>
    <x v="2"/>
    <s v="Emitida"/>
    <d v="2016-09-14T00:00:00"/>
    <d v="2016-09-14T00:00:00"/>
    <d v="2016-10-14T00:00:00"/>
    <m/>
    <n v="4198"/>
    <x v="1082"/>
    <x v="7"/>
  </r>
  <r>
    <x v="28"/>
    <s v="Emitida"/>
    <d v="2016-09-13T00:00:00"/>
    <d v="2016-09-13T00:00:00"/>
    <d v="2016-09-15T00:00:00"/>
    <m/>
    <n v="528"/>
    <x v="1083"/>
    <x v="8"/>
  </r>
  <r>
    <x v="52"/>
    <s v="Emitida"/>
    <d v="2016-09-07T00:00:00"/>
    <d v="2016-09-07T00:00:00"/>
    <d v="2016-09-22T00:00:00"/>
    <m/>
    <n v="27000"/>
    <x v="796"/>
    <x v="8"/>
  </r>
  <r>
    <x v="28"/>
    <s v="Emitida"/>
    <d v="2016-09-07T00:00:00"/>
    <d v="2016-09-07T00:00:00"/>
    <d v="2016-09-09T00:00:00"/>
    <m/>
    <n v="1924"/>
    <x v="1084"/>
    <x v="8"/>
  </r>
  <r>
    <x v="2"/>
    <s v="Emitida"/>
    <d v="2016-09-07T00:00:00"/>
    <d v="2016-09-07T00:00:00"/>
    <d v="2016-10-07T00:00:00"/>
    <m/>
    <n v="6504"/>
    <x v="1085"/>
    <x v="7"/>
  </r>
  <r>
    <x v="8"/>
    <s v="Emitida"/>
    <d v="2016-09-06T00:00:00"/>
    <d v="2016-09-06T00:00:00"/>
    <d v="2016-10-21T00:00:00"/>
    <m/>
    <n v="26757"/>
    <x v="1086"/>
    <x v="7"/>
  </r>
  <r>
    <x v="26"/>
    <s v="Emitida"/>
    <d v="2016-09-06T00:00:00"/>
    <d v="2016-09-06T00:00:00"/>
    <d v="2016-09-14T00:00:00"/>
    <m/>
    <n v="9733.7999999999993"/>
    <x v="1087"/>
    <x v="7"/>
  </r>
  <r>
    <x v="10"/>
    <s v="Emitida"/>
    <d v="2016-09-06T00:00:00"/>
    <d v="2016-09-06T00:00:00"/>
    <d v="2016-11-05T00:00:00"/>
    <m/>
    <n v="201714"/>
    <x v="1088"/>
    <x v="7"/>
  </r>
  <r>
    <x v="10"/>
    <s v="Emitida"/>
    <d v="2016-09-06T00:00:00"/>
    <d v="2016-09-06T00:00:00"/>
    <d v="2016-11-05T00:00:00"/>
    <m/>
    <n v="4780"/>
    <x v="1089"/>
    <x v="7"/>
  </r>
  <r>
    <x v="26"/>
    <s v="Emitida"/>
    <d v="2016-09-05T00:00:00"/>
    <d v="2016-09-05T00:00:00"/>
    <d v="2016-09-13T00:00:00"/>
    <m/>
    <n v="4410.8999999999996"/>
    <x v="1090"/>
    <x v="7"/>
  </r>
  <r>
    <x v="26"/>
    <s v="Emitida"/>
    <d v="2016-09-05T00:00:00"/>
    <d v="2016-09-05T00:00:00"/>
    <d v="2016-09-13T00:00:00"/>
    <m/>
    <n v="2450.5"/>
    <x v="1091"/>
    <x v="7"/>
  </r>
  <r>
    <x v="26"/>
    <s v="Emitida"/>
    <d v="2016-09-05T00:00:00"/>
    <d v="2016-09-05T00:00:00"/>
    <d v="2016-09-13T00:00:00"/>
    <m/>
    <n v="4410.8999999999996"/>
    <x v="1090"/>
    <x v="7"/>
  </r>
  <r>
    <x v="26"/>
    <s v="Emitida"/>
    <d v="2016-09-05T00:00:00"/>
    <d v="2016-09-05T00:00:00"/>
    <d v="2016-09-13T00:00:00"/>
    <m/>
    <n v="1225.25"/>
    <x v="1092"/>
    <x v="7"/>
  </r>
  <r>
    <x v="26"/>
    <s v="Emitida"/>
    <d v="2016-09-05T00:00:00"/>
    <d v="2016-09-05T00:00:00"/>
    <d v="2016-09-13T00:00:00"/>
    <m/>
    <n v="34146.699999999997"/>
    <x v="1093"/>
    <x v="7"/>
  </r>
  <r>
    <x v="13"/>
    <s v="Emitida"/>
    <d v="2016-09-01T00:00:00"/>
    <d v="2016-09-01T00:00:00"/>
    <d v="2016-10-01T00:00:00"/>
    <m/>
    <n v="14066"/>
    <x v="1094"/>
    <x v="7"/>
  </r>
  <r>
    <x v="53"/>
    <s v="Emitida"/>
    <d v="2016-08-31T00:00:00"/>
    <d v="2016-08-31T00:00:00"/>
    <d v="2016-09-15T00:00:00"/>
    <m/>
    <n v="613"/>
    <x v="1095"/>
    <x v="9"/>
  </r>
  <r>
    <x v="53"/>
    <s v="Emitida"/>
    <d v="2016-08-30T00:00:00"/>
    <d v="2016-08-30T00:00:00"/>
    <d v="2016-09-14T00:00:00"/>
    <m/>
    <n v="4384"/>
    <x v="1096"/>
    <x v="7"/>
  </r>
  <r>
    <x v="26"/>
    <s v="Emitida"/>
    <d v="2016-08-26T00:00:00"/>
    <d v="2016-08-26T00:00:00"/>
    <d v="2016-09-03T00:00:00"/>
    <m/>
    <n v="39189.4"/>
    <x v="1097"/>
    <x v="7"/>
  </r>
  <r>
    <x v="26"/>
    <s v="Emitida"/>
    <d v="2016-08-26T00:00:00"/>
    <d v="2016-08-26T00:00:00"/>
    <d v="2016-09-03T00:00:00"/>
    <m/>
    <n v="28670"/>
    <x v="117"/>
    <x v="7"/>
  </r>
  <r>
    <x v="13"/>
    <s v="Emitida"/>
    <d v="2016-08-24T00:00:00"/>
    <d v="2016-08-24T00:00:00"/>
    <d v="2016-09-23T00:00:00"/>
    <m/>
    <n v="13720"/>
    <x v="1098"/>
    <x v="7"/>
  </r>
  <r>
    <x v="13"/>
    <s v="Emitida"/>
    <d v="2016-08-23T00:00:00"/>
    <d v="2016-08-23T00:00:00"/>
    <d v="2016-09-22T00:00:00"/>
    <m/>
    <n v="23427"/>
    <x v="1099"/>
    <x v="7"/>
  </r>
  <r>
    <x v="26"/>
    <s v="Emitida"/>
    <d v="2016-08-22T00:00:00"/>
    <d v="2016-08-22T00:00:00"/>
    <d v="2016-08-30T00:00:00"/>
    <m/>
    <n v="9786.4500000000007"/>
    <x v="11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3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B59" firstHeaderRow="1" firstDataRow="1" firstDataCol="1"/>
  <pivotFields count="9">
    <pivotField axis="axisRow" showAll="0">
      <items count="56">
        <item x="17"/>
        <item x="53"/>
        <item x="27"/>
        <item x="46"/>
        <item x="28"/>
        <item x="7"/>
        <item x="6"/>
        <item x="1"/>
        <item x="0"/>
        <item x="29"/>
        <item x="34"/>
        <item x="40"/>
        <item x="2"/>
        <item x="54"/>
        <item x="49"/>
        <item x="50"/>
        <item x="38"/>
        <item x="12"/>
        <item x="32"/>
        <item x="22"/>
        <item x="18"/>
        <item x="44"/>
        <item x="9"/>
        <item x="20"/>
        <item x="3"/>
        <item x="25"/>
        <item x="30"/>
        <item x="4"/>
        <item x="41"/>
        <item x="15"/>
        <item x="16"/>
        <item x="26"/>
        <item x="23"/>
        <item x="13"/>
        <item x="21"/>
        <item x="35"/>
        <item x="42"/>
        <item x="11"/>
        <item x="36"/>
        <item x="52"/>
        <item x="8"/>
        <item x="24"/>
        <item x="39"/>
        <item x="14"/>
        <item x="19"/>
        <item x="5"/>
        <item x="47"/>
        <item x="37"/>
        <item x="43"/>
        <item x="33"/>
        <item x="10"/>
        <item x="45"/>
        <item x="48"/>
        <item x="31"/>
        <item x="51"/>
        <item t="default"/>
      </items>
    </pivotField>
    <pivotField showAll="0"/>
    <pivotField numFmtId="14" showAll="0"/>
    <pivotField showAll="0"/>
    <pivotField numFmtId="14" showAll="0"/>
    <pivotField showAll="0"/>
    <pivotField showAll="0"/>
    <pivotField dataField="1" showAll="0">
      <items count="1155">
        <item x="749"/>
        <item x="863"/>
        <item x="571"/>
        <item x="126"/>
        <item x="143"/>
        <item x="726"/>
        <item x="844"/>
        <item x="24"/>
        <item x="592"/>
        <item x="642"/>
        <item x="577"/>
        <item x="1082"/>
        <item x="596"/>
        <item x="549"/>
        <item x="744"/>
        <item x="1020"/>
        <item x="207"/>
        <item x="836"/>
        <item x="1072"/>
        <item x="436"/>
        <item x="306"/>
        <item x="898"/>
        <item x="431"/>
        <item x="104"/>
        <item x="176"/>
        <item x="695"/>
        <item x="333"/>
        <item x="432"/>
        <item x="282"/>
        <item x="1136"/>
        <item x="1108"/>
        <item x="804"/>
        <item x="609"/>
        <item x="625"/>
        <item x="85"/>
        <item x="654"/>
        <item x="817"/>
        <item x="1148"/>
        <item x="402"/>
        <item x="691"/>
        <item x="99"/>
        <item x="865"/>
        <item x="881"/>
        <item x="1109"/>
        <item x="1106"/>
        <item x="518"/>
        <item x="646"/>
        <item x="34"/>
        <item x="566"/>
        <item x="267"/>
        <item x="706"/>
        <item x="108"/>
        <item x="994"/>
        <item x="948"/>
        <item x="31"/>
        <item x="1073"/>
        <item x="130"/>
        <item x="454"/>
        <item x="849"/>
        <item x="953"/>
        <item x="1068"/>
        <item x="574"/>
        <item x="753"/>
        <item x="800"/>
        <item x="839"/>
        <item x="843"/>
        <item x="935"/>
        <item x="980"/>
        <item x="539"/>
        <item x="741"/>
        <item x="791"/>
        <item x="1124"/>
        <item x="332"/>
        <item x="708"/>
        <item x="926"/>
        <item x="458"/>
        <item x="882"/>
        <item x="1145"/>
        <item x="652"/>
        <item x="3"/>
        <item x="122"/>
        <item x="442"/>
        <item x="1057"/>
        <item x="1132"/>
        <item x="221"/>
        <item x="468"/>
        <item x="734"/>
        <item x="452"/>
        <item x="971"/>
        <item x="1029"/>
        <item x="1131"/>
        <item x="982"/>
        <item x="748"/>
        <item x="879"/>
        <item x="0"/>
        <item x="429"/>
        <item x="225"/>
        <item x="91"/>
        <item x="912"/>
        <item x="360"/>
        <item x="992"/>
        <item x="1125"/>
        <item x="1002"/>
        <item x="120"/>
        <item x="956"/>
        <item x="1090"/>
        <item x="337"/>
        <item x="369"/>
        <item x="570"/>
        <item x="516"/>
        <item x="732"/>
        <item x="1025"/>
        <item x="103"/>
        <item x="792"/>
        <item x="829"/>
        <item x="200"/>
        <item x="1137"/>
        <item x="1017"/>
        <item x="959"/>
        <item x="1100"/>
        <item x="373"/>
        <item x="312"/>
        <item x="856"/>
        <item x="659"/>
        <item x="138"/>
        <item x="270"/>
        <item x="284"/>
        <item x="1085"/>
        <item x="1006"/>
        <item x="838"/>
        <item x="1118"/>
        <item x="1042"/>
        <item x="1079"/>
        <item x="576"/>
        <item x="1062"/>
        <item x="1104"/>
        <item x="970"/>
        <item x="8"/>
        <item x="487"/>
        <item x="623"/>
        <item x="30"/>
        <item x="194"/>
        <item x="685"/>
        <item x="712"/>
        <item x="696"/>
        <item x="694"/>
        <item x="730"/>
        <item x="835"/>
        <item x="687"/>
        <item x="350"/>
        <item x="197"/>
        <item x="943"/>
        <item x="763"/>
        <item x="526"/>
        <item x="1045"/>
        <item x="891"/>
        <item x="977"/>
        <item x="366"/>
        <item x="764"/>
        <item x="1144"/>
        <item x="877"/>
        <item x="636"/>
        <item x="651"/>
        <item x="1023"/>
        <item x="950"/>
        <item x="39"/>
        <item x="323"/>
        <item x="1111"/>
        <item x="433"/>
        <item x="703"/>
        <item x="963"/>
        <item x="825"/>
        <item x="590"/>
        <item x="208"/>
        <item x="722"/>
        <item x="465"/>
        <item x="1035"/>
        <item x="711"/>
        <item x="701"/>
        <item x="780"/>
        <item x="273"/>
        <item x="220"/>
        <item x="195"/>
        <item x="29"/>
        <item x="568"/>
        <item x="1095"/>
        <item x="818"/>
        <item x="92"/>
        <item x="878"/>
        <item x="313"/>
        <item x="427"/>
        <item x="446"/>
        <item x="16"/>
        <item x="941"/>
        <item x="1103"/>
        <item x="690"/>
        <item x="958"/>
        <item x="514"/>
        <item x="872"/>
        <item x="217"/>
        <item x="967"/>
        <item x="931"/>
        <item x="930"/>
        <item x="588"/>
        <item x="9"/>
        <item x="1105"/>
        <item x="890"/>
        <item x="2"/>
        <item x="1117"/>
        <item x="639"/>
        <item x="515"/>
        <item x="271"/>
        <item x="218"/>
        <item x="876"/>
        <item x="895"/>
        <item x="1047"/>
        <item x="78"/>
        <item x="663"/>
        <item x="837"/>
        <item x="44"/>
        <item x="917"/>
        <item x="707"/>
        <item x="486"/>
        <item x="537"/>
        <item x="399"/>
        <item x="721"/>
        <item x="874"/>
        <item x="586"/>
        <item x="124"/>
        <item x="655"/>
        <item x="575"/>
        <item x="285"/>
        <item x="522"/>
        <item x="765"/>
        <item x="913"/>
        <item x="716"/>
        <item x="908"/>
        <item x="380"/>
        <item x="127"/>
        <item x="395"/>
        <item x="448"/>
        <item x="974"/>
        <item x="419"/>
        <item x="425"/>
        <item x="920"/>
        <item x="911"/>
        <item x="1011"/>
        <item x="219"/>
        <item x="192"/>
        <item x="484"/>
        <item x="604"/>
        <item x="767"/>
        <item x="201"/>
        <item x="397"/>
        <item x="349"/>
        <item x="311"/>
        <item x="985"/>
        <item x="587"/>
        <item x="314"/>
        <item x="989"/>
        <item x="536"/>
        <item x="379"/>
        <item x="470"/>
        <item x="473"/>
        <item x="964"/>
        <item x="675"/>
        <item x="1075"/>
        <item x="945"/>
        <item x="224"/>
        <item x="310"/>
        <item x="561"/>
        <item x="475"/>
        <item x="420"/>
        <item x="591"/>
        <item x="1135"/>
        <item x="773"/>
        <item x="599"/>
        <item x="335"/>
        <item x="597"/>
        <item x="845"/>
        <item x="634"/>
        <item x="598"/>
        <item x="993"/>
        <item x="899"/>
        <item x="453"/>
        <item x="1149"/>
        <item x="1143"/>
        <item x="1070"/>
        <item x="757"/>
        <item x="984"/>
        <item x="830"/>
        <item x="449"/>
        <item x="857"/>
        <item x="789"/>
        <item x="782"/>
        <item x="803"/>
        <item x="700"/>
        <item x="430"/>
        <item x="140"/>
        <item x="813"/>
        <item x="620"/>
        <item x="746"/>
        <item x="812"/>
        <item x="987"/>
        <item x="1142"/>
        <item x="933"/>
        <item x="909"/>
        <item x="603"/>
        <item x="897"/>
        <item x="582"/>
        <item x="462"/>
        <item x="944"/>
        <item x="862"/>
        <item x="916"/>
        <item x="608"/>
        <item x="69"/>
        <item x="600"/>
        <item x="664"/>
        <item x="159"/>
        <item x="772"/>
        <item x="793"/>
        <item x="610"/>
        <item x="841"/>
        <item x="1088"/>
        <item x="581"/>
        <item x="643"/>
        <item x="73"/>
        <item x="735"/>
        <item x="802"/>
        <item x="11"/>
        <item x="240"/>
        <item x="528"/>
        <item x="918"/>
        <item x="1074"/>
        <item x="428"/>
        <item x="653"/>
        <item x="70"/>
        <item x="82"/>
        <item x="411"/>
        <item x="832"/>
        <item x="45"/>
        <item x="318"/>
        <item x="1039"/>
        <item x="607"/>
        <item x="414"/>
        <item x="928"/>
        <item x="272"/>
        <item x="644"/>
        <item x="986"/>
        <item x="447"/>
        <item x="811"/>
        <item x="352"/>
        <item x="798"/>
        <item x="162"/>
        <item x="540"/>
        <item x="769"/>
        <item x="408"/>
        <item x="145"/>
        <item x="1126"/>
        <item x="578"/>
        <item x="1080"/>
        <item x="1036"/>
        <item x="973"/>
        <item x="737"/>
        <item x="864"/>
        <item x="101"/>
        <item x="123"/>
        <item x="46"/>
        <item x="278"/>
        <item x="146"/>
        <item x="387"/>
        <item x="147"/>
        <item x="51"/>
        <item x="619"/>
        <item x="831"/>
        <item x="1065"/>
        <item x="509"/>
        <item x="550"/>
        <item x="962"/>
        <item x="456"/>
        <item x="622"/>
        <item x="334"/>
        <item x="657"/>
        <item x="86"/>
        <item x="1138"/>
        <item x="949"/>
        <item x="955"/>
        <item x="255"/>
        <item x="507"/>
        <item x="505"/>
        <item x="579"/>
        <item x="714"/>
        <item x="331"/>
        <item x="38"/>
        <item x="546"/>
        <item x="504"/>
        <item x="251"/>
        <item x="222"/>
        <item x="160"/>
        <item x="416"/>
        <item x="542"/>
        <item x="472"/>
        <item x="426"/>
        <item x="1007"/>
        <item x="790"/>
        <item x="262"/>
        <item x="524"/>
        <item x="204"/>
        <item x="74"/>
        <item x="771"/>
        <item x="261"/>
        <item x="368"/>
        <item x="263"/>
        <item x="940"/>
        <item x="68"/>
        <item x="351"/>
        <item x="249"/>
        <item x="907"/>
        <item x="1130"/>
        <item x="247"/>
        <item x="89"/>
        <item x="669"/>
        <item x="264"/>
        <item x="415"/>
        <item x="265"/>
        <item x="905"/>
        <item x="553"/>
        <item x="743"/>
        <item x="163"/>
        <item x="253"/>
        <item x="287"/>
        <item x="246"/>
        <item x="229"/>
        <item x="189"/>
        <item x="244"/>
        <item x="169"/>
        <item x="660"/>
        <item x="645"/>
        <item x="1014"/>
        <item x="719"/>
        <item x="785"/>
        <item x="1077"/>
        <item x="649"/>
        <item x="358"/>
        <item x="266"/>
        <item x="359"/>
        <item x="151"/>
        <item x="259"/>
        <item x="165"/>
        <item x="407"/>
        <item x="228"/>
        <item x="417"/>
        <item x="471"/>
        <item x="378"/>
        <item x="161"/>
        <item x="168"/>
        <item x="1076"/>
        <item x="298"/>
        <item x="172"/>
        <item x="279"/>
        <item x="322"/>
        <item x="329"/>
        <item x="252"/>
        <item x="493"/>
        <item x="245"/>
        <item x="816"/>
        <item x="254"/>
        <item x="257"/>
        <item x="684"/>
        <item x="248"/>
        <item x="260"/>
        <item x="394"/>
        <item x="783"/>
        <item x="939"/>
        <item x="1078"/>
        <item x="531"/>
        <item x="968"/>
        <item x="167"/>
        <item x="187"/>
        <item x="53"/>
        <item x="403"/>
        <item x="250"/>
        <item x="327"/>
        <item x="258"/>
        <item x="842"/>
        <item x="148"/>
        <item x="236"/>
        <item x="519"/>
        <item x="910"/>
        <item x="315"/>
        <item x="670"/>
        <item x="778"/>
        <item x="777"/>
        <item x="853"/>
        <item x="226"/>
        <item x="593"/>
        <item x="1019"/>
        <item x="256"/>
        <item x="884"/>
        <item x="965"/>
        <item x="754"/>
        <item x="37"/>
        <item x="547"/>
        <item x="538"/>
        <item x="317"/>
        <item x="855"/>
        <item x="1071"/>
        <item x="1060"/>
        <item x="563"/>
        <item x="87"/>
        <item x="503"/>
        <item x="629"/>
        <item x="191"/>
        <item x="988"/>
        <item x="934"/>
        <item x="693"/>
        <item x="673"/>
        <item x="4"/>
        <item x="376"/>
        <item x="347"/>
        <item x="951"/>
        <item x="1099"/>
        <item x="903"/>
        <item x="1010"/>
        <item x="1028"/>
        <item x="494"/>
        <item x="979"/>
        <item x="1127"/>
        <item x="198"/>
        <item x="328"/>
        <item x="635"/>
        <item x="1048"/>
        <item x="357"/>
        <item x="1140"/>
        <item x="1153"/>
        <item x="665"/>
        <item x="554"/>
        <item x="27"/>
        <item x="796"/>
        <item x="614"/>
        <item x="725"/>
        <item x="1004"/>
        <item x="480"/>
        <item x="144"/>
        <item x="26"/>
        <item x="131"/>
        <item x="1120"/>
        <item x="1034"/>
        <item x="464"/>
        <item x="724"/>
        <item x="391"/>
        <item x="668"/>
        <item x="527"/>
        <item x="755"/>
        <item x="283"/>
        <item x="421"/>
        <item x="900"/>
        <item x="548"/>
        <item x="947"/>
        <item x="511"/>
        <item x="1119"/>
        <item x="807"/>
        <item x="1038"/>
        <item x="13"/>
        <item x="759"/>
        <item x="761"/>
        <item x="952"/>
        <item x="656"/>
        <item x="291"/>
        <item x="617"/>
        <item x="797"/>
        <item x="239"/>
        <item x="190"/>
        <item x="343"/>
        <item x="565"/>
        <item x="374"/>
        <item x="412"/>
        <item x="341"/>
        <item x="1069"/>
        <item x="1054"/>
        <item x="75"/>
        <item x="375"/>
        <item x="365"/>
        <item x="906"/>
        <item x="490"/>
        <item x="556"/>
        <item x="601"/>
        <item x="871"/>
        <item x="136"/>
        <item x="680"/>
        <item x="443"/>
        <item x="28"/>
        <item x="293"/>
        <item x="529"/>
        <item x="304"/>
        <item x="834"/>
        <item x="998"/>
        <item x="1022"/>
        <item x="787"/>
        <item x="760"/>
        <item x="340"/>
        <item x="125"/>
        <item x="296"/>
        <item x="48"/>
        <item x="209"/>
        <item x="781"/>
        <item x="1027"/>
        <item x="498"/>
        <item x="894"/>
        <item x="7"/>
        <item x="325"/>
        <item x="392"/>
        <item x="808"/>
        <item x="676"/>
        <item x="530"/>
        <item x="937"/>
        <item x="460"/>
        <item x="615"/>
        <item x="489"/>
        <item x="672"/>
        <item x="371"/>
        <item x="49"/>
        <item x="488"/>
        <item x="1037"/>
        <item x="534"/>
        <item x="866"/>
        <item x="164"/>
        <item x="166"/>
        <item x="479"/>
        <item x="739"/>
        <item x="738"/>
        <item x="459"/>
        <item x="1133"/>
        <item x="98"/>
        <item x="667"/>
        <item x="320"/>
        <item x="184"/>
        <item x="410"/>
        <item x="93"/>
        <item x="640"/>
        <item x="186"/>
        <item x="1151"/>
        <item x="477"/>
        <item x="152"/>
        <item x="242"/>
        <item x="1089"/>
        <item x="22"/>
        <item x="316"/>
        <item x="506"/>
        <item x="277"/>
        <item x="280"/>
        <item x="633"/>
        <item x="386"/>
        <item x="491"/>
        <item x="437"/>
        <item x="178"/>
        <item x="594"/>
        <item x="1115"/>
        <item x="1147"/>
        <item x="751"/>
        <item x="241"/>
        <item x="79"/>
        <item x="155"/>
        <item x="185"/>
        <item x="188"/>
        <item x="170"/>
        <item x="938"/>
        <item x="572"/>
        <item x="758"/>
        <item x="153"/>
        <item x="354"/>
        <item x="180"/>
        <item x="893"/>
        <item x="274"/>
        <item x="300"/>
        <item x="776"/>
        <item x="203"/>
        <item x="551"/>
        <item x="149"/>
        <item x="364"/>
        <item x="307"/>
        <item x="14"/>
        <item x="1113"/>
        <item x="545"/>
        <item x="135"/>
        <item x="795"/>
        <item x="154"/>
        <item x="214"/>
        <item x="495"/>
        <item x="450"/>
        <item x="183"/>
        <item x="961"/>
        <item x="883"/>
        <item x="182"/>
        <item x="52"/>
        <item x="840"/>
        <item x="413"/>
        <item x="1066"/>
        <item x="922"/>
        <item x="740"/>
        <item x="1003"/>
        <item x="174"/>
        <item x="1008"/>
        <item x="815"/>
        <item x="210"/>
        <item x="175"/>
        <item x="308"/>
        <item x="709"/>
        <item x="243"/>
        <item x="401"/>
        <item x="997"/>
        <item x="521"/>
        <item x="1005"/>
        <item x="512"/>
        <item x="409"/>
        <item x="355"/>
        <item x="1112"/>
        <item x="1122"/>
        <item x="689"/>
        <item x="733"/>
        <item x="1083"/>
        <item x="19"/>
        <item x="294"/>
        <item x="1016"/>
        <item x="624"/>
        <item x="455"/>
        <item x="535"/>
        <item x="677"/>
        <item x="729"/>
        <item x="199"/>
        <item x="109"/>
        <item x="999"/>
        <item x="513"/>
        <item x="562"/>
        <item x="821"/>
        <item x="423"/>
        <item x="382"/>
        <item x="637"/>
        <item x="396"/>
        <item x="794"/>
        <item x="483"/>
        <item x="356"/>
        <item x="361"/>
        <item x="833"/>
        <item x="698"/>
        <item x="723"/>
        <item x="809"/>
        <item x="875"/>
        <item x="1026"/>
        <item x="770"/>
        <item x="231"/>
        <item x="638"/>
        <item x="100"/>
        <item x="84"/>
        <item x="720"/>
        <item x="692"/>
        <item x="303"/>
        <item x="21"/>
        <item x="541"/>
        <item x="286"/>
        <item x="319"/>
        <item x="238"/>
        <item x="858"/>
        <item x="788"/>
        <item x="710"/>
        <item x="517"/>
        <item x="954"/>
        <item x="1041"/>
        <item x="502"/>
        <item x="752"/>
        <item x="1107"/>
        <item x="1093"/>
        <item x="627"/>
        <item x="71"/>
        <item x="978"/>
        <item x="602"/>
        <item x="1013"/>
        <item x="1098"/>
        <item x="902"/>
        <item x="822"/>
        <item x="1050"/>
        <item x="292"/>
        <item x="330"/>
        <item x="302"/>
        <item x="650"/>
        <item x="573"/>
        <item x="892"/>
        <item x="1102"/>
        <item x="779"/>
        <item x="212"/>
        <item x="213"/>
        <item x="384"/>
        <item x="171"/>
        <item x="107"/>
        <item x="569"/>
        <item x="702"/>
        <item x="179"/>
        <item x="216"/>
        <item x="119"/>
        <item x="233"/>
        <item x="158"/>
        <item x="697"/>
        <item x="469"/>
        <item x="936"/>
        <item x="762"/>
        <item x="1044"/>
        <item x="921"/>
        <item x="585"/>
        <item x="766"/>
        <item x="422"/>
        <item x="405"/>
        <item x="336"/>
        <item x="326"/>
        <item x="55"/>
        <item x="1121"/>
        <item x="43"/>
        <item x="826"/>
        <item x="1040"/>
        <item x="532"/>
        <item x="671"/>
        <item x="824"/>
        <item x="441"/>
        <item x="156"/>
        <item x="276"/>
        <item x="42"/>
        <item x="211"/>
        <item x="235"/>
        <item x="632"/>
        <item x="828"/>
        <item x="1043"/>
        <item x="385"/>
        <item x="611"/>
        <item x="1087"/>
        <item x="105"/>
        <item x="215"/>
        <item x="398"/>
        <item x="338"/>
        <item x="919"/>
        <item x="1015"/>
        <item x="1152"/>
        <item x="589"/>
        <item x="683"/>
        <item x="133"/>
        <item x="1009"/>
        <item x="736"/>
        <item x="641"/>
        <item x="658"/>
        <item x="132"/>
        <item x="1000"/>
        <item x="478"/>
        <item x="975"/>
        <item x="784"/>
        <item x="1091"/>
        <item x="1001"/>
        <item x="927"/>
        <item x="353"/>
        <item x="552"/>
        <item x="564"/>
        <item x="381"/>
        <item x="595"/>
        <item x="972"/>
        <item x="72"/>
        <item x="543"/>
        <item x="80"/>
        <item x="234"/>
        <item x="774"/>
        <item x="461"/>
        <item x="485"/>
        <item x="1021"/>
        <item x="1030"/>
        <item x="1101"/>
        <item x="40"/>
        <item x="501"/>
        <item x="1096"/>
        <item x="705"/>
        <item x="510"/>
        <item x="367"/>
        <item x="268"/>
        <item x="544"/>
        <item x="929"/>
        <item x="1032"/>
        <item x="193"/>
        <item x="810"/>
        <item x="476"/>
        <item x="775"/>
        <item x="474"/>
        <item x="321"/>
        <item x="206"/>
        <item x="1139"/>
        <item x="290"/>
        <item x="827"/>
        <item x="966"/>
        <item x="1051"/>
        <item x="612"/>
        <item x="957"/>
        <item x="324"/>
        <item x="406"/>
        <item x="626"/>
        <item x="301"/>
        <item x="281"/>
        <item x="713"/>
        <item x="820"/>
        <item x="41"/>
        <item x="1049"/>
        <item x="583"/>
        <item x="227"/>
        <item x="139"/>
        <item x="383"/>
        <item x="388"/>
        <item x="888"/>
        <item x="1128"/>
        <item x="463"/>
        <item x="289"/>
        <item x="230"/>
        <item x="699"/>
        <item x="1067"/>
        <item x="438"/>
        <item x="362"/>
        <item x="77"/>
        <item x="1061"/>
        <item x="346"/>
        <item x="121"/>
        <item x="275"/>
        <item x="134"/>
        <item x="390"/>
        <item x="424"/>
        <item x="867"/>
        <item x="181"/>
        <item x="106"/>
        <item x="806"/>
        <item x="404"/>
        <item x="157"/>
        <item x="288"/>
        <item x="618"/>
        <item x="202"/>
        <item x="348"/>
        <item x="756"/>
        <item x="981"/>
        <item x="747"/>
        <item x="661"/>
        <item x="727"/>
        <item x="1110"/>
        <item x="6"/>
        <item x="344"/>
        <item x="946"/>
        <item x="1012"/>
        <item x="17"/>
        <item x="177"/>
        <item x="555"/>
        <item x="960"/>
        <item x="805"/>
        <item x="914"/>
        <item x="819"/>
        <item x="584"/>
        <item x="137"/>
        <item x="915"/>
        <item x="1114"/>
        <item x="983"/>
        <item x="142"/>
        <item x="1146"/>
        <item x="18"/>
        <item x="295"/>
        <item x="118"/>
        <item x="113"/>
        <item x="674"/>
        <item x="786"/>
        <item x="389"/>
        <item x="33"/>
        <item x="54"/>
        <item x="1018"/>
        <item x="370"/>
        <item x="647"/>
        <item x="400"/>
        <item x="1056"/>
        <item x="482"/>
        <item x="57"/>
        <item x="35"/>
        <item x="110"/>
        <item x="717"/>
        <item x="102"/>
        <item x="904"/>
        <item x="1063"/>
        <item x="116"/>
        <item x="377"/>
        <item x="111"/>
        <item x="457"/>
        <item x="814"/>
        <item x="65"/>
        <item x="128"/>
        <item x="372"/>
        <item x="345"/>
        <item x="237"/>
        <item x="1046"/>
        <item x="681"/>
        <item x="923"/>
        <item x="728"/>
        <item x="434"/>
        <item x="557"/>
        <item x="662"/>
        <item x="1150"/>
        <item x="15"/>
        <item x="297"/>
        <item x="10"/>
        <item x="59"/>
        <item x="299"/>
        <item x="67"/>
        <item x="269"/>
        <item x="616"/>
        <item x="173"/>
        <item x="823"/>
        <item x="768"/>
        <item x="223"/>
        <item x="682"/>
        <item x="1033"/>
        <item x="859"/>
        <item x="852"/>
        <item x="115"/>
        <item x="492"/>
        <item x="112"/>
        <item x="1031"/>
        <item x="305"/>
        <item x="1097"/>
        <item x="580"/>
        <item x="520"/>
        <item x="309"/>
        <item x="885"/>
        <item x="750"/>
        <item x="731"/>
        <item x="88"/>
        <item x="718"/>
        <item x="558"/>
        <item x="466"/>
        <item x="66"/>
        <item x="12"/>
        <item x="62"/>
        <item x="58"/>
        <item x="205"/>
        <item x="1134"/>
        <item x="339"/>
        <item x="60"/>
        <item x="440"/>
        <item x="439"/>
        <item x="606"/>
        <item x="96"/>
        <item x="1055"/>
        <item x="880"/>
        <item x="95"/>
        <item x="63"/>
        <item x="969"/>
        <item x="61"/>
        <item x="64"/>
        <item x="76"/>
        <item x="996"/>
        <item x="942"/>
        <item x="47"/>
        <item x="1064"/>
        <item x="976"/>
        <item x="56"/>
        <item x="679"/>
        <item x="445"/>
        <item x="1116"/>
        <item x="1024"/>
        <item x="1052"/>
        <item x="36"/>
        <item x="117"/>
        <item x="742"/>
        <item x="889"/>
        <item x="150"/>
        <item x="886"/>
        <item x="363"/>
        <item x="114"/>
        <item x="1129"/>
        <item x="715"/>
        <item x="688"/>
        <item x="232"/>
        <item x="560"/>
        <item x="23"/>
        <item x="932"/>
        <item x="901"/>
        <item x="704"/>
        <item x="991"/>
        <item x="887"/>
        <item x="924"/>
        <item x="90"/>
        <item x="1053"/>
        <item x="1092"/>
        <item x="678"/>
        <item x="1084"/>
        <item x="32"/>
        <item x="873"/>
        <item x="1086"/>
        <item x="1058"/>
        <item x="435"/>
        <item x="870"/>
        <item x="567"/>
        <item x="848"/>
        <item x="1081"/>
        <item x="613"/>
        <item x="20"/>
        <item x="854"/>
        <item x="686"/>
        <item x="196"/>
        <item x="83"/>
        <item x="628"/>
        <item x="621"/>
        <item x="50"/>
        <item x="97"/>
        <item x="5"/>
        <item x="990"/>
        <item x="1123"/>
        <item x="94"/>
        <item x="25"/>
        <item x="444"/>
        <item x="860"/>
        <item x="850"/>
        <item x="847"/>
        <item x="451"/>
        <item x="342"/>
        <item x="1094"/>
        <item x="995"/>
        <item x="481"/>
        <item x="666"/>
        <item x="925"/>
        <item x="799"/>
        <item x="141"/>
        <item x="801"/>
        <item x="533"/>
        <item x="861"/>
        <item x="467"/>
        <item x="81"/>
        <item x="1"/>
        <item x="846"/>
        <item x="605"/>
        <item x="630"/>
        <item x="631"/>
        <item x="129"/>
        <item x="500"/>
        <item x="523"/>
        <item x="499"/>
        <item x="497"/>
        <item x="418"/>
        <item x="496"/>
        <item x="1059"/>
        <item x="745"/>
        <item x="851"/>
        <item x="1141"/>
        <item x="559"/>
        <item x="508"/>
        <item x="896"/>
        <item x="869"/>
        <item x="648"/>
        <item x="868"/>
        <item x="525"/>
        <item x="393"/>
        <item t="default"/>
      </items>
    </pivotField>
    <pivotField showAl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dataFields count="1">
    <dataField name="Suma de Importe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4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A3:D15" firstHeaderRow="0" firstDataRow="1" firstDataCol="1"/>
  <pivotFields count="9">
    <pivotField showAll="0">
      <items count="56">
        <item x="17"/>
        <item x="53"/>
        <item x="27"/>
        <item x="46"/>
        <item x="28"/>
        <item x="7"/>
        <item x="6"/>
        <item x="1"/>
        <item x="0"/>
        <item x="29"/>
        <item x="34"/>
        <item x="40"/>
        <item x="2"/>
        <item x="54"/>
        <item x="49"/>
        <item x="50"/>
        <item x="38"/>
        <item x="12"/>
        <item x="32"/>
        <item x="22"/>
        <item x="18"/>
        <item x="44"/>
        <item x="9"/>
        <item x="20"/>
        <item x="3"/>
        <item x="25"/>
        <item x="30"/>
        <item x="4"/>
        <item x="41"/>
        <item x="15"/>
        <item x="16"/>
        <item x="26"/>
        <item x="23"/>
        <item x="13"/>
        <item x="21"/>
        <item x="35"/>
        <item x="42"/>
        <item x="11"/>
        <item x="36"/>
        <item x="52"/>
        <item x="8"/>
        <item x="24"/>
        <item x="39"/>
        <item x="14"/>
        <item x="19"/>
        <item x="5"/>
        <item x="47"/>
        <item x="37"/>
        <item x="43"/>
        <item x="33"/>
        <item x="10"/>
        <item x="45"/>
        <item x="48"/>
        <item x="31"/>
        <item x="51"/>
        <item t="default"/>
      </items>
    </pivotField>
    <pivotField showAll="0"/>
    <pivotField numFmtId="14" showAll="0"/>
    <pivotField showAll="0"/>
    <pivotField numFmtId="14" showAll="0">
      <items count="607">
        <item x="605"/>
        <item x="603"/>
        <item x="598"/>
        <item x="601"/>
        <item x="600"/>
        <item x="596"/>
        <item x="597"/>
        <item x="604"/>
        <item x="594"/>
        <item x="602"/>
        <item x="592"/>
        <item x="591"/>
        <item x="599"/>
        <item x="587"/>
        <item x="588"/>
        <item x="595"/>
        <item x="586"/>
        <item x="584"/>
        <item x="582"/>
        <item x="593"/>
        <item x="580"/>
        <item x="578"/>
        <item x="575"/>
        <item x="590"/>
        <item x="589"/>
        <item x="573"/>
        <item x="576"/>
        <item x="585"/>
        <item x="570"/>
        <item x="583"/>
        <item x="572"/>
        <item x="581"/>
        <item x="571"/>
        <item x="579"/>
        <item x="577"/>
        <item x="567"/>
        <item x="574"/>
        <item x="569"/>
        <item x="568"/>
        <item x="566"/>
        <item x="561"/>
        <item x="565"/>
        <item x="563"/>
        <item x="562"/>
        <item x="558"/>
        <item x="553"/>
        <item x="556"/>
        <item x="554"/>
        <item x="559"/>
        <item x="551"/>
        <item x="549"/>
        <item x="548"/>
        <item x="564"/>
        <item x="547"/>
        <item x="546"/>
        <item x="560"/>
        <item x="557"/>
        <item x="555"/>
        <item x="543"/>
        <item x="541"/>
        <item x="540"/>
        <item x="550"/>
        <item x="539"/>
        <item x="538"/>
        <item x="536"/>
        <item x="545"/>
        <item x="552"/>
        <item x="531"/>
        <item x="542"/>
        <item x="530"/>
        <item x="544"/>
        <item x="528"/>
        <item x="537"/>
        <item x="525"/>
        <item x="534"/>
        <item x="522"/>
        <item x="533"/>
        <item x="532"/>
        <item x="521"/>
        <item x="535"/>
        <item x="529"/>
        <item x="519"/>
        <item x="517"/>
        <item x="526"/>
        <item x="514"/>
        <item x="513"/>
        <item x="523"/>
        <item x="508"/>
        <item x="509"/>
        <item x="502"/>
        <item x="510"/>
        <item x="527"/>
        <item x="506"/>
        <item x="520"/>
        <item x="503"/>
        <item x="524"/>
        <item x="515"/>
        <item x="505"/>
        <item x="499"/>
        <item x="512"/>
        <item x="511"/>
        <item x="493"/>
        <item x="498"/>
        <item x="518"/>
        <item x="496"/>
        <item x="507"/>
        <item x="494"/>
        <item x="504"/>
        <item x="489"/>
        <item x="490"/>
        <item x="501"/>
        <item x="500"/>
        <item x="516"/>
        <item x="491"/>
        <item x="488"/>
        <item x="486"/>
        <item x="497"/>
        <item x="485"/>
        <item x="495"/>
        <item x="484"/>
        <item x="492"/>
        <item x="483"/>
        <item x="482"/>
        <item x="481"/>
        <item x="479"/>
        <item x="487"/>
        <item x="478"/>
        <item x="477"/>
        <item x="476"/>
        <item x="475"/>
        <item x="474"/>
        <item x="470"/>
        <item x="467"/>
        <item x="469"/>
        <item x="480"/>
        <item x="468"/>
        <item x="466"/>
        <item x="458"/>
        <item x="464"/>
        <item x="463"/>
        <item x="462"/>
        <item x="460"/>
        <item x="472"/>
        <item x="455"/>
        <item x="452"/>
        <item x="451"/>
        <item x="450"/>
        <item x="448"/>
        <item x="454"/>
        <item x="465"/>
        <item x="453"/>
        <item x="461"/>
        <item x="449"/>
        <item x="459"/>
        <item x="457"/>
        <item x="447"/>
        <item x="446"/>
        <item x="456"/>
        <item x="473"/>
        <item x="444"/>
        <item x="471"/>
        <item x="443"/>
        <item x="442"/>
        <item x="439"/>
        <item x="440"/>
        <item x="438"/>
        <item x="435"/>
        <item x="433"/>
        <item x="431"/>
        <item x="437"/>
        <item x="429"/>
        <item x="436"/>
        <item x="425"/>
        <item x="424"/>
        <item x="441"/>
        <item x="428"/>
        <item x="423"/>
        <item x="422"/>
        <item x="421"/>
        <item x="434"/>
        <item x="445"/>
        <item x="432"/>
        <item x="419"/>
        <item x="418"/>
        <item x="427"/>
        <item x="426"/>
        <item x="415"/>
        <item x="412"/>
        <item x="410"/>
        <item x="409"/>
        <item x="407"/>
        <item x="420"/>
        <item x="406"/>
        <item x="405"/>
        <item x="403"/>
        <item x="401"/>
        <item x="416"/>
        <item x="413"/>
        <item x="430"/>
        <item x="399"/>
        <item x="398"/>
        <item x="397"/>
        <item x="411"/>
        <item x="408"/>
        <item x="417"/>
        <item x="395"/>
        <item x="396"/>
        <item x="394"/>
        <item x="390"/>
        <item x="404"/>
        <item x="402"/>
        <item x="400"/>
        <item x="387"/>
        <item x="391"/>
        <item x="414"/>
        <item x="381"/>
        <item x="380"/>
        <item x="379"/>
        <item x="378"/>
        <item x="393"/>
        <item x="392"/>
        <item x="389"/>
        <item x="388"/>
        <item x="377"/>
        <item x="376"/>
        <item x="386"/>
        <item x="375"/>
        <item x="385"/>
        <item x="384"/>
        <item x="383"/>
        <item x="382"/>
        <item x="372"/>
        <item x="371"/>
        <item x="370"/>
        <item x="369"/>
        <item x="368"/>
        <item x="366"/>
        <item x="374"/>
        <item x="373"/>
        <item x="356"/>
        <item x="363"/>
        <item x="361"/>
        <item x="359"/>
        <item x="358"/>
        <item x="367"/>
        <item x="354"/>
        <item x="351"/>
        <item x="357"/>
        <item x="365"/>
        <item x="355"/>
        <item x="353"/>
        <item x="350"/>
        <item x="362"/>
        <item x="349"/>
        <item x="360"/>
        <item x="346"/>
        <item x="345"/>
        <item x="347"/>
        <item x="352"/>
        <item x="364"/>
        <item x="341"/>
        <item x="343"/>
        <item x="335"/>
        <item x="339"/>
        <item x="348"/>
        <item x="334"/>
        <item x="332"/>
        <item x="330"/>
        <item x="344"/>
        <item x="329"/>
        <item x="342"/>
        <item x="340"/>
        <item x="331"/>
        <item x="338"/>
        <item x="337"/>
        <item x="336"/>
        <item x="328"/>
        <item x="333"/>
        <item x="326"/>
        <item x="323"/>
        <item x="327"/>
        <item x="321"/>
        <item x="320"/>
        <item x="317"/>
        <item x="314"/>
        <item x="322"/>
        <item x="309"/>
        <item x="316"/>
        <item x="310"/>
        <item x="305"/>
        <item x="300"/>
        <item x="324"/>
        <item x="304"/>
        <item x="302"/>
        <item x="303"/>
        <item x="319"/>
        <item x="298"/>
        <item x="297"/>
        <item x="312"/>
        <item x="311"/>
        <item x="325"/>
        <item x="299"/>
        <item x="308"/>
        <item x="295"/>
        <item x="306"/>
        <item x="293"/>
        <item x="318"/>
        <item x="315"/>
        <item x="291"/>
        <item x="294"/>
        <item x="313"/>
        <item x="301"/>
        <item x="282"/>
        <item x="290"/>
        <item x="307"/>
        <item x="284"/>
        <item x="283"/>
        <item x="286"/>
        <item x="285"/>
        <item x="281"/>
        <item x="280"/>
        <item x="296"/>
        <item x="288"/>
        <item x="287"/>
        <item x="277"/>
        <item x="292"/>
        <item x="276"/>
        <item x="275"/>
        <item x="273"/>
        <item x="271"/>
        <item x="289"/>
        <item x="269"/>
        <item x="268"/>
        <item x="266"/>
        <item x="270"/>
        <item x="264"/>
        <item x="263"/>
        <item x="262"/>
        <item x="261"/>
        <item x="274"/>
        <item x="272"/>
        <item x="279"/>
        <item x="260"/>
        <item x="258"/>
        <item x="267"/>
        <item x="278"/>
        <item x="265"/>
        <item x="259"/>
        <item x="255"/>
        <item x="253"/>
        <item x="252"/>
        <item x="248"/>
        <item x="250"/>
        <item x="245"/>
        <item x="249"/>
        <item x="247"/>
        <item x="257"/>
        <item x="243"/>
        <item x="246"/>
        <item x="256"/>
        <item x="242"/>
        <item x="254"/>
        <item x="251"/>
        <item x="241"/>
        <item x="240"/>
        <item x="239"/>
        <item x="236"/>
        <item x="235"/>
        <item x="234"/>
        <item x="244"/>
        <item x="232"/>
        <item x="238"/>
        <item x="230"/>
        <item x="229"/>
        <item x="228"/>
        <item x="233"/>
        <item x="226"/>
        <item x="227"/>
        <item x="224"/>
        <item x="221"/>
        <item x="222"/>
        <item x="237"/>
        <item x="219"/>
        <item x="218"/>
        <item x="231"/>
        <item x="216"/>
        <item x="214"/>
        <item x="213"/>
        <item x="211"/>
        <item x="212"/>
        <item x="209"/>
        <item x="215"/>
        <item x="207"/>
        <item x="208"/>
        <item x="206"/>
        <item x="223"/>
        <item x="203"/>
        <item x="202"/>
        <item x="217"/>
        <item x="197"/>
        <item x="201"/>
        <item x="200"/>
        <item x="199"/>
        <item x="198"/>
        <item x="225"/>
        <item x="210"/>
        <item x="188"/>
        <item x="193"/>
        <item x="194"/>
        <item x="205"/>
        <item x="204"/>
        <item x="196"/>
        <item x="195"/>
        <item x="186"/>
        <item x="185"/>
        <item x="220"/>
        <item x="181"/>
        <item x="183"/>
        <item x="182"/>
        <item x="180"/>
        <item x="178"/>
        <item x="177"/>
        <item x="190"/>
        <item x="175"/>
        <item x="176"/>
        <item x="171"/>
        <item x="172"/>
        <item x="170"/>
        <item x="173"/>
        <item x="192"/>
        <item x="191"/>
        <item x="179"/>
        <item x="189"/>
        <item x="187"/>
        <item x="168"/>
        <item x="167"/>
        <item x="184"/>
        <item x="174"/>
        <item x="164"/>
        <item x="162"/>
        <item x="169"/>
        <item x="160"/>
        <item x="159"/>
        <item x="163"/>
        <item x="155"/>
        <item x="154"/>
        <item x="153"/>
        <item x="157"/>
        <item x="148"/>
        <item x="150"/>
        <item x="146"/>
        <item x="166"/>
        <item x="145"/>
        <item x="165"/>
        <item x="144"/>
        <item x="161"/>
        <item x="158"/>
        <item x="156"/>
        <item x="139"/>
        <item x="152"/>
        <item x="141"/>
        <item x="138"/>
        <item x="143"/>
        <item x="136"/>
        <item x="134"/>
        <item x="151"/>
        <item x="133"/>
        <item x="147"/>
        <item x="132"/>
        <item x="131"/>
        <item x="130"/>
        <item x="129"/>
        <item x="128"/>
        <item x="142"/>
        <item x="140"/>
        <item x="126"/>
        <item x="135"/>
        <item x="149"/>
        <item x="124"/>
        <item x="125"/>
        <item x="121"/>
        <item x="119"/>
        <item x="118"/>
        <item x="122"/>
        <item x="137"/>
        <item x="120"/>
        <item x="115"/>
        <item x="127"/>
        <item x="117"/>
        <item x="111"/>
        <item x="114"/>
        <item x="113"/>
        <item x="101"/>
        <item x="108"/>
        <item x="107"/>
        <item x="100"/>
        <item x="123"/>
        <item x="104"/>
        <item x="103"/>
        <item x="102"/>
        <item x="112"/>
        <item x="110"/>
        <item x="109"/>
        <item x="99"/>
        <item x="106"/>
        <item x="98"/>
        <item x="97"/>
        <item x="96"/>
        <item x="95"/>
        <item x="116"/>
        <item x="93"/>
        <item x="105"/>
        <item x="90"/>
        <item x="84"/>
        <item x="89"/>
        <item x="88"/>
        <item x="86"/>
        <item x="83"/>
        <item x="94"/>
        <item x="85"/>
        <item x="92"/>
        <item x="91"/>
        <item x="79"/>
        <item x="82"/>
        <item x="81"/>
        <item x="71"/>
        <item x="68"/>
        <item x="66"/>
        <item x="65"/>
        <item x="78"/>
        <item x="77"/>
        <item x="75"/>
        <item x="73"/>
        <item x="72"/>
        <item x="70"/>
        <item x="80"/>
        <item x="87"/>
        <item x="69"/>
        <item x="67"/>
        <item x="64"/>
        <item x="62"/>
        <item x="76"/>
        <item x="61"/>
        <item x="56"/>
        <item x="60"/>
        <item x="54"/>
        <item x="58"/>
        <item x="57"/>
        <item x="63"/>
        <item x="55"/>
        <item x="53"/>
        <item x="51"/>
        <item x="74"/>
        <item x="59"/>
        <item x="48"/>
        <item x="47"/>
        <item x="46"/>
        <item x="40"/>
        <item x="44"/>
        <item x="52"/>
        <item x="50"/>
        <item x="49"/>
        <item x="43"/>
        <item x="42"/>
        <item x="38"/>
        <item x="31"/>
        <item x="45"/>
        <item x="39"/>
        <item x="37"/>
        <item x="34"/>
        <item x="22"/>
        <item x="27"/>
        <item x="30"/>
        <item x="41"/>
        <item x="33"/>
        <item x="23"/>
        <item x="28"/>
        <item x="36"/>
        <item x="35"/>
        <item x="26"/>
        <item x="32"/>
        <item x="16"/>
        <item x="21"/>
        <item x="18"/>
        <item x="20"/>
        <item x="25"/>
        <item x="24"/>
        <item x="13"/>
        <item x="17"/>
        <item x="12"/>
        <item x="15"/>
        <item x="14"/>
        <item x="29"/>
        <item x="11"/>
        <item x="2"/>
        <item x="0"/>
        <item x="4"/>
        <item x="7"/>
        <item x="19"/>
        <item x="10"/>
        <item x="8"/>
        <item x="3"/>
        <item x="6"/>
        <item x="1"/>
        <item x="9"/>
        <item x="5"/>
        <item t="default"/>
      </items>
    </pivotField>
    <pivotField showAll="0"/>
    <pivotField showAll="0"/>
    <pivotField dataField="1" showAll="0">
      <items count="1155">
        <item x="749"/>
        <item x="863"/>
        <item x="571"/>
        <item x="126"/>
        <item x="143"/>
        <item x="726"/>
        <item x="844"/>
        <item x="24"/>
        <item x="592"/>
        <item x="642"/>
        <item x="577"/>
        <item x="1082"/>
        <item x="596"/>
        <item x="549"/>
        <item x="744"/>
        <item x="1020"/>
        <item x="207"/>
        <item x="836"/>
        <item x="1072"/>
        <item x="436"/>
        <item x="306"/>
        <item x="898"/>
        <item x="431"/>
        <item x="104"/>
        <item x="176"/>
        <item x="695"/>
        <item x="333"/>
        <item x="432"/>
        <item x="282"/>
        <item x="1136"/>
        <item x="1108"/>
        <item x="804"/>
        <item x="609"/>
        <item x="625"/>
        <item x="85"/>
        <item x="654"/>
        <item x="817"/>
        <item x="1148"/>
        <item x="402"/>
        <item x="691"/>
        <item x="99"/>
        <item x="865"/>
        <item x="881"/>
        <item x="1109"/>
        <item x="1106"/>
        <item x="518"/>
        <item x="646"/>
        <item x="34"/>
        <item x="566"/>
        <item x="267"/>
        <item x="706"/>
        <item x="108"/>
        <item x="994"/>
        <item x="948"/>
        <item x="31"/>
        <item x="1073"/>
        <item x="130"/>
        <item x="454"/>
        <item x="849"/>
        <item x="953"/>
        <item x="1068"/>
        <item x="574"/>
        <item x="753"/>
        <item x="800"/>
        <item x="839"/>
        <item x="843"/>
        <item x="935"/>
        <item x="980"/>
        <item x="539"/>
        <item x="741"/>
        <item x="791"/>
        <item x="1124"/>
        <item x="332"/>
        <item x="708"/>
        <item x="926"/>
        <item x="458"/>
        <item x="882"/>
        <item x="1145"/>
        <item x="652"/>
        <item x="3"/>
        <item x="122"/>
        <item x="442"/>
        <item x="1057"/>
        <item x="1132"/>
        <item x="221"/>
        <item x="468"/>
        <item x="734"/>
        <item x="452"/>
        <item x="971"/>
        <item x="1029"/>
        <item x="1131"/>
        <item x="982"/>
        <item x="748"/>
        <item x="879"/>
        <item x="0"/>
        <item x="429"/>
        <item x="225"/>
        <item x="91"/>
        <item x="912"/>
        <item x="360"/>
        <item x="992"/>
        <item x="1125"/>
        <item x="1002"/>
        <item x="120"/>
        <item x="956"/>
        <item x="1090"/>
        <item x="337"/>
        <item x="369"/>
        <item x="570"/>
        <item x="516"/>
        <item x="732"/>
        <item x="1025"/>
        <item x="103"/>
        <item x="792"/>
        <item x="829"/>
        <item x="200"/>
        <item x="1137"/>
        <item x="1017"/>
        <item x="959"/>
        <item x="1100"/>
        <item x="373"/>
        <item x="312"/>
        <item x="856"/>
        <item x="659"/>
        <item x="138"/>
        <item x="270"/>
        <item x="284"/>
        <item x="1085"/>
        <item x="1006"/>
        <item x="838"/>
        <item x="1118"/>
        <item x="1042"/>
        <item x="1079"/>
        <item x="576"/>
        <item x="1062"/>
        <item x="1104"/>
        <item x="970"/>
        <item x="8"/>
        <item x="487"/>
        <item x="623"/>
        <item x="30"/>
        <item x="194"/>
        <item x="685"/>
        <item x="712"/>
        <item x="696"/>
        <item x="694"/>
        <item x="730"/>
        <item x="835"/>
        <item x="687"/>
        <item x="350"/>
        <item x="197"/>
        <item x="943"/>
        <item x="763"/>
        <item x="526"/>
        <item x="1045"/>
        <item x="891"/>
        <item x="977"/>
        <item x="366"/>
        <item x="764"/>
        <item x="1144"/>
        <item x="877"/>
        <item x="636"/>
        <item x="651"/>
        <item x="1023"/>
        <item x="950"/>
        <item x="39"/>
        <item x="323"/>
        <item x="1111"/>
        <item x="433"/>
        <item x="703"/>
        <item x="963"/>
        <item x="825"/>
        <item x="590"/>
        <item x="208"/>
        <item x="722"/>
        <item x="465"/>
        <item x="1035"/>
        <item x="711"/>
        <item x="701"/>
        <item x="780"/>
        <item x="273"/>
        <item x="220"/>
        <item x="195"/>
        <item x="29"/>
        <item x="568"/>
        <item x="1095"/>
        <item x="818"/>
        <item x="92"/>
        <item x="878"/>
        <item x="313"/>
        <item x="427"/>
        <item x="446"/>
        <item x="16"/>
        <item x="941"/>
        <item x="1103"/>
        <item x="690"/>
        <item x="958"/>
        <item x="514"/>
        <item x="872"/>
        <item x="217"/>
        <item x="967"/>
        <item x="931"/>
        <item x="930"/>
        <item x="588"/>
        <item x="9"/>
        <item x="1105"/>
        <item x="890"/>
        <item x="2"/>
        <item x="1117"/>
        <item x="639"/>
        <item x="515"/>
        <item x="271"/>
        <item x="218"/>
        <item x="876"/>
        <item x="895"/>
        <item x="1047"/>
        <item x="78"/>
        <item x="663"/>
        <item x="837"/>
        <item x="44"/>
        <item x="917"/>
        <item x="707"/>
        <item x="486"/>
        <item x="537"/>
        <item x="399"/>
        <item x="721"/>
        <item x="874"/>
        <item x="586"/>
        <item x="124"/>
        <item x="655"/>
        <item x="575"/>
        <item x="285"/>
        <item x="522"/>
        <item x="765"/>
        <item x="913"/>
        <item x="716"/>
        <item x="908"/>
        <item x="380"/>
        <item x="127"/>
        <item x="395"/>
        <item x="448"/>
        <item x="974"/>
        <item x="419"/>
        <item x="425"/>
        <item x="920"/>
        <item x="911"/>
        <item x="1011"/>
        <item x="219"/>
        <item x="192"/>
        <item x="484"/>
        <item x="604"/>
        <item x="767"/>
        <item x="201"/>
        <item x="397"/>
        <item x="349"/>
        <item x="311"/>
        <item x="985"/>
        <item x="587"/>
        <item x="314"/>
        <item x="989"/>
        <item x="536"/>
        <item x="379"/>
        <item x="470"/>
        <item x="473"/>
        <item x="964"/>
        <item x="675"/>
        <item x="1075"/>
        <item x="945"/>
        <item x="224"/>
        <item x="310"/>
        <item x="561"/>
        <item x="475"/>
        <item x="420"/>
        <item x="591"/>
        <item x="1135"/>
        <item x="773"/>
        <item x="599"/>
        <item x="335"/>
        <item x="597"/>
        <item x="845"/>
        <item x="634"/>
        <item x="598"/>
        <item x="993"/>
        <item x="899"/>
        <item x="453"/>
        <item x="1149"/>
        <item x="1143"/>
        <item x="1070"/>
        <item x="757"/>
        <item x="984"/>
        <item x="830"/>
        <item x="449"/>
        <item x="857"/>
        <item x="789"/>
        <item x="782"/>
        <item x="803"/>
        <item x="700"/>
        <item x="430"/>
        <item x="140"/>
        <item x="813"/>
        <item x="620"/>
        <item x="746"/>
        <item x="812"/>
        <item x="987"/>
        <item x="1142"/>
        <item x="933"/>
        <item x="909"/>
        <item x="603"/>
        <item x="897"/>
        <item x="582"/>
        <item x="462"/>
        <item x="944"/>
        <item x="862"/>
        <item x="916"/>
        <item x="608"/>
        <item x="69"/>
        <item x="600"/>
        <item x="664"/>
        <item x="159"/>
        <item x="772"/>
        <item x="793"/>
        <item x="610"/>
        <item x="841"/>
        <item x="1088"/>
        <item x="581"/>
        <item x="643"/>
        <item x="73"/>
        <item x="735"/>
        <item x="802"/>
        <item x="11"/>
        <item x="240"/>
        <item x="528"/>
        <item x="918"/>
        <item x="1074"/>
        <item x="428"/>
        <item x="653"/>
        <item x="70"/>
        <item x="82"/>
        <item x="411"/>
        <item x="832"/>
        <item x="45"/>
        <item x="318"/>
        <item x="1039"/>
        <item x="607"/>
        <item x="414"/>
        <item x="928"/>
        <item x="272"/>
        <item x="644"/>
        <item x="986"/>
        <item x="447"/>
        <item x="811"/>
        <item x="352"/>
        <item x="798"/>
        <item x="162"/>
        <item x="540"/>
        <item x="769"/>
        <item x="408"/>
        <item x="145"/>
        <item x="1126"/>
        <item x="578"/>
        <item x="1080"/>
        <item x="1036"/>
        <item x="973"/>
        <item x="737"/>
        <item x="864"/>
        <item x="101"/>
        <item x="123"/>
        <item x="46"/>
        <item x="278"/>
        <item x="146"/>
        <item x="387"/>
        <item x="147"/>
        <item x="51"/>
        <item x="619"/>
        <item x="831"/>
        <item x="1065"/>
        <item x="509"/>
        <item x="550"/>
        <item x="962"/>
        <item x="456"/>
        <item x="622"/>
        <item x="334"/>
        <item x="657"/>
        <item x="86"/>
        <item x="1138"/>
        <item x="949"/>
        <item x="955"/>
        <item x="255"/>
        <item x="507"/>
        <item x="505"/>
        <item x="579"/>
        <item x="714"/>
        <item x="331"/>
        <item x="38"/>
        <item x="546"/>
        <item x="504"/>
        <item x="251"/>
        <item x="222"/>
        <item x="160"/>
        <item x="416"/>
        <item x="542"/>
        <item x="472"/>
        <item x="426"/>
        <item x="1007"/>
        <item x="790"/>
        <item x="262"/>
        <item x="524"/>
        <item x="204"/>
        <item x="74"/>
        <item x="771"/>
        <item x="261"/>
        <item x="368"/>
        <item x="263"/>
        <item x="940"/>
        <item x="68"/>
        <item x="351"/>
        <item x="249"/>
        <item x="907"/>
        <item x="1130"/>
        <item x="247"/>
        <item x="89"/>
        <item x="669"/>
        <item x="264"/>
        <item x="415"/>
        <item x="265"/>
        <item x="905"/>
        <item x="553"/>
        <item x="743"/>
        <item x="163"/>
        <item x="253"/>
        <item x="287"/>
        <item x="246"/>
        <item x="229"/>
        <item x="189"/>
        <item x="244"/>
        <item x="169"/>
        <item x="660"/>
        <item x="645"/>
        <item x="1014"/>
        <item x="719"/>
        <item x="785"/>
        <item x="1077"/>
        <item x="649"/>
        <item x="358"/>
        <item x="266"/>
        <item x="359"/>
        <item x="151"/>
        <item x="259"/>
        <item x="165"/>
        <item x="407"/>
        <item x="228"/>
        <item x="417"/>
        <item x="471"/>
        <item x="378"/>
        <item x="161"/>
        <item x="168"/>
        <item x="1076"/>
        <item x="298"/>
        <item x="172"/>
        <item x="279"/>
        <item x="322"/>
        <item x="329"/>
        <item x="252"/>
        <item x="493"/>
        <item x="245"/>
        <item x="816"/>
        <item x="254"/>
        <item x="257"/>
        <item x="684"/>
        <item x="248"/>
        <item x="260"/>
        <item x="394"/>
        <item x="783"/>
        <item x="939"/>
        <item x="1078"/>
        <item x="531"/>
        <item x="968"/>
        <item x="167"/>
        <item x="187"/>
        <item x="53"/>
        <item x="403"/>
        <item x="250"/>
        <item x="327"/>
        <item x="258"/>
        <item x="842"/>
        <item x="148"/>
        <item x="236"/>
        <item x="519"/>
        <item x="910"/>
        <item x="315"/>
        <item x="670"/>
        <item x="778"/>
        <item x="777"/>
        <item x="853"/>
        <item x="226"/>
        <item x="593"/>
        <item x="1019"/>
        <item x="256"/>
        <item x="884"/>
        <item x="965"/>
        <item x="754"/>
        <item x="37"/>
        <item x="547"/>
        <item x="538"/>
        <item x="317"/>
        <item x="855"/>
        <item x="1071"/>
        <item x="1060"/>
        <item x="563"/>
        <item x="87"/>
        <item x="503"/>
        <item x="629"/>
        <item x="191"/>
        <item x="988"/>
        <item x="934"/>
        <item x="693"/>
        <item x="673"/>
        <item x="4"/>
        <item x="376"/>
        <item x="347"/>
        <item x="951"/>
        <item x="1099"/>
        <item x="903"/>
        <item x="1010"/>
        <item x="1028"/>
        <item x="494"/>
        <item x="979"/>
        <item x="1127"/>
        <item x="198"/>
        <item x="328"/>
        <item x="635"/>
        <item x="1048"/>
        <item x="357"/>
        <item x="1140"/>
        <item x="1153"/>
        <item x="665"/>
        <item x="554"/>
        <item x="27"/>
        <item x="796"/>
        <item x="614"/>
        <item x="725"/>
        <item x="1004"/>
        <item x="480"/>
        <item x="144"/>
        <item x="26"/>
        <item x="131"/>
        <item x="1120"/>
        <item x="1034"/>
        <item x="464"/>
        <item x="724"/>
        <item x="391"/>
        <item x="668"/>
        <item x="527"/>
        <item x="755"/>
        <item x="283"/>
        <item x="421"/>
        <item x="900"/>
        <item x="548"/>
        <item x="947"/>
        <item x="511"/>
        <item x="1119"/>
        <item x="807"/>
        <item x="1038"/>
        <item x="13"/>
        <item x="759"/>
        <item x="761"/>
        <item x="952"/>
        <item x="656"/>
        <item x="291"/>
        <item x="617"/>
        <item x="797"/>
        <item x="239"/>
        <item x="190"/>
        <item x="343"/>
        <item x="565"/>
        <item x="374"/>
        <item x="412"/>
        <item x="341"/>
        <item x="1069"/>
        <item x="1054"/>
        <item x="75"/>
        <item x="375"/>
        <item x="365"/>
        <item x="906"/>
        <item x="490"/>
        <item x="556"/>
        <item x="601"/>
        <item x="871"/>
        <item x="136"/>
        <item x="680"/>
        <item x="443"/>
        <item x="28"/>
        <item x="293"/>
        <item x="529"/>
        <item x="304"/>
        <item x="834"/>
        <item x="998"/>
        <item x="1022"/>
        <item x="787"/>
        <item x="760"/>
        <item x="340"/>
        <item x="125"/>
        <item x="296"/>
        <item x="48"/>
        <item x="209"/>
        <item x="781"/>
        <item x="1027"/>
        <item x="498"/>
        <item x="894"/>
        <item x="7"/>
        <item x="325"/>
        <item x="392"/>
        <item x="808"/>
        <item x="676"/>
        <item x="530"/>
        <item x="937"/>
        <item x="460"/>
        <item x="615"/>
        <item x="489"/>
        <item x="672"/>
        <item x="371"/>
        <item x="49"/>
        <item x="488"/>
        <item x="1037"/>
        <item x="534"/>
        <item x="866"/>
        <item x="164"/>
        <item x="166"/>
        <item x="479"/>
        <item x="739"/>
        <item x="738"/>
        <item x="459"/>
        <item x="1133"/>
        <item x="98"/>
        <item x="667"/>
        <item x="320"/>
        <item x="184"/>
        <item x="410"/>
        <item x="93"/>
        <item x="640"/>
        <item x="186"/>
        <item x="1151"/>
        <item x="477"/>
        <item x="152"/>
        <item x="242"/>
        <item x="1089"/>
        <item x="22"/>
        <item x="316"/>
        <item x="506"/>
        <item x="277"/>
        <item x="280"/>
        <item x="633"/>
        <item x="386"/>
        <item x="491"/>
        <item x="437"/>
        <item x="178"/>
        <item x="594"/>
        <item x="1115"/>
        <item x="1147"/>
        <item x="751"/>
        <item x="241"/>
        <item x="79"/>
        <item x="155"/>
        <item x="185"/>
        <item x="188"/>
        <item x="170"/>
        <item x="938"/>
        <item x="572"/>
        <item x="758"/>
        <item x="153"/>
        <item x="354"/>
        <item x="180"/>
        <item x="893"/>
        <item x="274"/>
        <item x="300"/>
        <item x="776"/>
        <item x="203"/>
        <item x="551"/>
        <item x="149"/>
        <item x="364"/>
        <item x="307"/>
        <item x="14"/>
        <item x="1113"/>
        <item x="545"/>
        <item x="135"/>
        <item x="795"/>
        <item x="154"/>
        <item x="214"/>
        <item x="495"/>
        <item x="450"/>
        <item x="183"/>
        <item x="961"/>
        <item x="883"/>
        <item x="182"/>
        <item x="52"/>
        <item x="840"/>
        <item x="413"/>
        <item x="1066"/>
        <item x="922"/>
        <item x="740"/>
        <item x="1003"/>
        <item x="174"/>
        <item x="1008"/>
        <item x="815"/>
        <item x="210"/>
        <item x="175"/>
        <item x="308"/>
        <item x="709"/>
        <item x="243"/>
        <item x="401"/>
        <item x="997"/>
        <item x="521"/>
        <item x="1005"/>
        <item x="512"/>
        <item x="409"/>
        <item x="355"/>
        <item x="1112"/>
        <item x="1122"/>
        <item x="689"/>
        <item x="733"/>
        <item x="1083"/>
        <item x="19"/>
        <item x="294"/>
        <item x="1016"/>
        <item x="624"/>
        <item x="455"/>
        <item x="535"/>
        <item x="677"/>
        <item x="729"/>
        <item x="199"/>
        <item x="109"/>
        <item x="999"/>
        <item x="513"/>
        <item x="562"/>
        <item x="821"/>
        <item x="423"/>
        <item x="382"/>
        <item x="637"/>
        <item x="396"/>
        <item x="794"/>
        <item x="483"/>
        <item x="356"/>
        <item x="361"/>
        <item x="833"/>
        <item x="698"/>
        <item x="723"/>
        <item x="809"/>
        <item x="875"/>
        <item x="1026"/>
        <item x="770"/>
        <item x="231"/>
        <item x="638"/>
        <item x="100"/>
        <item x="84"/>
        <item x="720"/>
        <item x="692"/>
        <item x="303"/>
        <item x="21"/>
        <item x="541"/>
        <item x="286"/>
        <item x="319"/>
        <item x="238"/>
        <item x="858"/>
        <item x="788"/>
        <item x="710"/>
        <item x="517"/>
        <item x="954"/>
        <item x="1041"/>
        <item x="502"/>
        <item x="752"/>
        <item x="1107"/>
        <item x="1093"/>
        <item x="627"/>
        <item x="71"/>
        <item x="978"/>
        <item x="602"/>
        <item x="1013"/>
        <item x="1098"/>
        <item x="902"/>
        <item x="822"/>
        <item x="1050"/>
        <item x="292"/>
        <item x="330"/>
        <item x="302"/>
        <item x="650"/>
        <item x="573"/>
        <item x="892"/>
        <item x="1102"/>
        <item x="779"/>
        <item x="212"/>
        <item x="213"/>
        <item x="384"/>
        <item x="171"/>
        <item x="107"/>
        <item x="569"/>
        <item x="702"/>
        <item x="179"/>
        <item x="216"/>
        <item x="119"/>
        <item x="233"/>
        <item x="158"/>
        <item x="697"/>
        <item x="469"/>
        <item x="936"/>
        <item x="762"/>
        <item x="1044"/>
        <item x="921"/>
        <item x="585"/>
        <item x="766"/>
        <item x="422"/>
        <item x="405"/>
        <item x="336"/>
        <item x="326"/>
        <item x="55"/>
        <item x="1121"/>
        <item x="43"/>
        <item x="826"/>
        <item x="1040"/>
        <item x="532"/>
        <item x="671"/>
        <item x="824"/>
        <item x="441"/>
        <item x="156"/>
        <item x="276"/>
        <item x="42"/>
        <item x="211"/>
        <item x="235"/>
        <item x="632"/>
        <item x="828"/>
        <item x="1043"/>
        <item x="385"/>
        <item x="611"/>
        <item x="1087"/>
        <item x="105"/>
        <item x="215"/>
        <item x="398"/>
        <item x="338"/>
        <item x="919"/>
        <item x="1015"/>
        <item x="1152"/>
        <item x="589"/>
        <item x="683"/>
        <item x="133"/>
        <item x="1009"/>
        <item x="736"/>
        <item x="641"/>
        <item x="658"/>
        <item x="132"/>
        <item x="1000"/>
        <item x="478"/>
        <item x="975"/>
        <item x="784"/>
        <item x="1091"/>
        <item x="1001"/>
        <item x="927"/>
        <item x="353"/>
        <item x="552"/>
        <item x="564"/>
        <item x="381"/>
        <item x="595"/>
        <item x="972"/>
        <item x="72"/>
        <item x="543"/>
        <item x="80"/>
        <item x="234"/>
        <item x="774"/>
        <item x="461"/>
        <item x="485"/>
        <item x="1021"/>
        <item x="1030"/>
        <item x="1101"/>
        <item x="40"/>
        <item x="501"/>
        <item x="1096"/>
        <item x="705"/>
        <item x="510"/>
        <item x="367"/>
        <item x="268"/>
        <item x="544"/>
        <item x="929"/>
        <item x="1032"/>
        <item x="193"/>
        <item x="810"/>
        <item x="476"/>
        <item x="775"/>
        <item x="474"/>
        <item x="321"/>
        <item x="206"/>
        <item x="1139"/>
        <item x="290"/>
        <item x="827"/>
        <item x="966"/>
        <item x="1051"/>
        <item x="612"/>
        <item x="957"/>
        <item x="324"/>
        <item x="406"/>
        <item x="626"/>
        <item x="301"/>
        <item x="281"/>
        <item x="713"/>
        <item x="820"/>
        <item x="41"/>
        <item x="1049"/>
        <item x="583"/>
        <item x="227"/>
        <item x="139"/>
        <item x="383"/>
        <item x="388"/>
        <item x="888"/>
        <item x="1128"/>
        <item x="463"/>
        <item x="289"/>
        <item x="230"/>
        <item x="699"/>
        <item x="1067"/>
        <item x="438"/>
        <item x="362"/>
        <item x="77"/>
        <item x="1061"/>
        <item x="346"/>
        <item x="121"/>
        <item x="275"/>
        <item x="134"/>
        <item x="390"/>
        <item x="424"/>
        <item x="867"/>
        <item x="181"/>
        <item x="106"/>
        <item x="806"/>
        <item x="404"/>
        <item x="157"/>
        <item x="288"/>
        <item x="618"/>
        <item x="202"/>
        <item x="348"/>
        <item x="756"/>
        <item x="981"/>
        <item x="747"/>
        <item x="661"/>
        <item x="727"/>
        <item x="1110"/>
        <item x="6"/>
        <item x="344"/>
        <item x="946"/>
        <item x="1012"/>
        <item x="17"/>
        <item x="177"/>
        <item x="555"/>
        <item x="960"/>
        <item x="805"/>
        <item x="914"/>
        <item x="819"/>
        <item x="584"/>
        <item x="137"/>
        <item x="915"/>
        <item x="1114"/>
        <item x="983"/>
        <item x="142"/>
        <item x="1146"/>
        <item x="18"/>
        <item x="295"/>
        <item x="118"/>
        <item x="113"/>
        <item x="674"/>
        <item x="786"/>
        <item x="389"/>
        <item x="33"/>
        <item x="54"/>
        <item x="1018"/>
        <item x="370"/>
        <item x="647"/>
        <item x="400"/>
        <item x="1056"/>
        <item x="482"/>
        <item x="57"/>
        <item x="35"/>
        <item x="110"/>
        <item x="717"/>
        <item x="102"/>
        <item x="904"/>
        <item x="1063"/>
        <item x="116"/>
        <item x="377"/>
        <item x="111"/>
        <item x="457"/>
        <item x="814"/>
        <item x="65"/>
        <item x="128"/>
        <item x="372"/>
        <item x="345"/>
        <item x="237"/>
        <item x="1046"/>
        <item x="681"/>
        <item x="923"/>
        <item x="728"/>
        <item x="434"/>
        <item x="557"/>
        <item x="662"/>
        <item x="1150"/>
        <item x="15"/>
        <item x="297"/>
        <item x="10"/>
        <item x="59"/>
        <item x="299"/>
        <item x="67"/>
        <item x="269"/>
        <item x="616"/>
        <item x="173"/>
        <item x="823"/>
        <item x="768"/>
        <item x="223"/>
        <item x="682"/>
        <item x="1033"/>
        <item x="859"/>
        <item x="852"/>
        <item x="115"/>
        <item x="492"/>
        <item x="112"/>
        <item x="1031"/>
        <item x="305"/>
        <item x="1097"/>
        <item x="580"/>
        <item x="520"/>
        <item x="309"/>
        <item x="885"/>
        <item x="750"/>
        <item x="731"/>
        <item x="88"/>
        <item x="718"/>
        <item x="558"/>
        <item x="466"/>
        <item x="66"/>
        <item x="12"/>
        <item x="62"/>
        <item x="58"/>
        <item x="205"/>
        <item x="1134"/>
        <item x="339"/>
        <item x="60"/>
        <item x="440"/>
        <item x="439"/>
        <item x="606"/>
        <item x="96"/>
        <item x="1055"/>
        <item x="880"/>
        <item x="95"/>
        <item x="63"/>
        <item x="969"/>
        <item x="61"/>
        <item x="64"/>
        <item x="76"/>
        <item x="996"/>
        <item x="942"/>
        <item x="47"/>
        <item x="1064"/>
        <item x="976"/>
        <item x="56"/>
        <item x="679"/>
        <item x="445"/>
        <item x="1116"/>
        <item x="1024"/>
        <item x="1052"/>
        <item x="36"/>
        <item x="117"/>
        <item x="742"/>
        <item x="889"/>
        <item x="150"/>
        <item x="886"/>
        <item x="363"/>
        <item x="114"/>
        <item x="1129"/>
        <item x="715"/>
        <item x="688"/>
        <item x="232"/>
        <item x="560"/>
        <item x="23"/>
        <item x="932"/>
        <item x="901"/>
        <item x="704"/>
        <item x="991"/>
        <item x="887"/>
        <item x="924"/>
        <item x="90"/>
        <item x="1053"/>
        <item x="1092"/>
        <item x="678"/>
        <item x="1084"/>
        <item x="32"/>
        <item x="873"/>
        <item x="1086"/>
        <item x="1058"/>
        <item x="435"/>
        <item x="870"/>
        <item x="567"/>
        <item x="848"/>
        <item x="1081"/>
        <item x="613"/>
        <item x="20"/>
        <item x="854"/>
        <item x="686"/>
        <item x="196"/>
        <item x="83"/>
        <item x="628"/>
        <item x="621"/>
        <item x="50"/>
        <item x="97"/>
        <item x="5"/>
        <item x="990"/>
        <item x="1123"/>
        <item x="94"/>
        <item x="25"/>
        <item x="444"/>
        <item x="860"/>
        <item x="850"/>
        <item x="847"/>
        <item x="451"/>
        <item x="342"/>
        <item x="1094"/>
        <item x="995"/>
        <item x="481"/>
        <item x="666"/>
        <item x="925"/>
        <item x="799"/>
        <item x="141"/>
        <item x="801"/>
        <item x="533"/>
        <item x="861"/>
        <item x="467"/>
        <item x="81"/>
        <item x="1"/>
        <item x="846"/>
        <item x="605"/>
        <item x="630"/>
        <item x="631"/>
        <item x="129"/>
        <item x="500"/>
        <item x="523"/>
        <item x="499"/>
        <item x="497"/>
        <item x="418"/>
        <item x="496"/>
        <item x="1059"/>
        <item x="745"/>
        <item x="851"/>
        <item x="1141"/>
        <item x="559"/>
        <item x="508"/>
        <item x="896"/>
        <item x="869"/>
        <item x="648"/>
        <item x="868"/>
        <item x="525"/>
        <item x="393"/>
        <item t="default"/>
      </items>
    </pivotField>
    <pivotField axis="axisRow" dataField="1" showAll="0">
      <items count="12">
        <item x="4"/>
        <item x="10"/>
        <item x="2"/>
        <item x="8"/>
        <item x="9"/>
        <item x="5"/>
        <item x="6"/>
        <item x="0"/>
        <item x="1"/>
        <item x="3"/>
        <item x="7"/>
        <item t="default"/>
      </items>
    </pivotField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Importe" fld="7" baseField="0" baseItem="0"/>
    <dataField name="Cuenta de Método_pago" fld="8" subtotal="count" baseField="0" baseItem="0"/>
    <dataField name="Cuenta de Método_pago2" fld="8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7EED0-35F7-9147-B10C-729C8CE70ACB}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32" firstHeaderRow="1" firstDataRow="1" firstDataCol="1" rowPageCount="1" colPageCount="1"/>
  <pivotFields count="9">
    <pivotField axis="axisRow" showAll="0">
      <items count="55">
        <item x="17"/>
        <item x="52"/>
        <item x="27"/>
        <item x="46"/>
        <item x="28"/>
        <item x="7"/>
        <item x="6"/>
        <item x="1"/>
        <item x="0"/>
        <item x="29"/>
        <item x="34"/>
        <item x="40"/>
        <item x="2"/>
        <item x="53"/>
        <item x="49"/>
        <item x="50"/>
        <item x="38"/>
        <item x="12"/>
        <item x="32"/>
        <item x="22"/>
        <item x="18"/>
        <item x="44"/>
        <item x="9"/>
        <item x="20"/>
        <item x="3"/>
        <item x="25"/>
        <item x="30"/>
        <item x="4"/>
        <item x="41"/>
        <item x="15"/>
        <item x="16"/>
        <item x="26"/>
        <item x="23"/>
        <item x="13"/>
        <item x="21"/>
        <item x="35"/>
        <item x="42"/>
        <item x="11"/>
        <item x="36"/>
        <item x="51"/>
        <item x="8"/>
        <item x="24"/>
        <item x="39"/>
        <item x="14"/>
        <item x="19"/>
        <item x="5"/>
        <item x="47"/>
        <item x="37"/>
        <item x="43"/>
        <item x="33"/>
        <item x="10"/>
        <item x="45"/>
        <item x="48"/>
        <item x="31"/>
        <item t="default"/>
      </items>
    </pivotField>
    <pivotField showAll="0"/>
    <pivotField numFmtId="14" showAll="0"/>
    <pivotField showAll="0"/>
    <pivotField numFmtId="14" showAll="0"/>
    <pivotField showAll="0"/>
    <pivotField showAll="0"/>
    <pivotField dataField="1" showAll="0">
      <items count="1102">
        <item x="829"/>
        <item x="551"/>
        <item x="121"/>
        <item x="138"/>
        <item x="701"/>
        <item x="811"/>
        <item x="24"/>
        <item x="618"/>
        <item x="557"/>
        <item x="575"/>
        <item x="530"/>
        <item x="201"/>
        <item x="804"/>
        <item x="1027"/>
        <item x="418"/>
        <item x="297"/>
        <item x="863"/>
        <item x="100"/>
        <item x="171"/>
        <item x="670"/>
        <item x="323"/>
        <item x="274"/>
        <item x="1083"/>
        <item x="1060"/>
        <item x="773"/>
        <item x="588"/>
        <item x="604"/>
        <item x="84"/>
        <item x="631"/>
        <item x="786"/>
        <item x="1095"/>
        <item x="389"/>
        <item x="666"/>
        <item x="95"/>
        <item x="831"/>
        <item x="847"/>
        <item x="1061"/>
        <item x="1058"/>
        <item x="499"/>
        <item x="622"/>
        <item x="33"/>
        <item x="546"/>
        <item x="285"/>
        <item x="681"/>
        <item x="104"/>
        <item x="955"/>
        <item x="911"/>
        <item x="30"/>
        <item x="1028"/>
        <item x="125"/>
        <item x="436"/>
        <item x="816"/>
        <item x="915"/>
        <item x="1023"/>
        <item x="554"/>
        <item x="726"/>
        <item x="770"/>
        <item x="806"/>
        <item x="810"/>
        <item x="898"/>
        <item x="520"/>
        <item x="716"/>
        <item x="761"/>
        <item x="1075"/>
        <item x="322"/>
        <item x="683"/>
        <item x="890"/>
        <item x="440"/>
        <item x="848"/>
        <item x="1092"/>
        <item x="629"/>
        <item x="3"/>
        <item x="118"/>
        <item x="424"/>
        <item x="1012"/>
        <item x="215"/>
        <item x="449"/>
        <item x="709"/>
        <item x="434"/>
        <item x="933"/>
        <item x="985"/>
        <item x="1079"/>
        <item x="943"/>
        <item x="722"/>
        <item x="845"/>
        <item x="0"/>
        <item x="414"/>
        <item x="219"/>
        <item x="90"/>
        <item x="877"/>
        <item x="350"/>
        <item x="953"/>
        <item x="962"/>
        <item x="116"/>
        <item x="918"/>
        <item x="1042"/>
        <item x="327"/>
        <item x="359"/>
        <item x="550"/>
        <item x="497"/>
        <item x="707"/>
        <item x="981"/>
        <item x="99"/>
        <item x="762"/>
        <item x="797"/>
        <item x="194"/>
        <item x="1084"/>
        <item x="975"/>
        <item x="921"/>
        <item x="1052"/>
        <item x="362"/>
        <item x="302"/>
        <item x="823"/>
        <item x="635"/>
        <item x="133"/>
        <item x="262"/>
        <item x="1038"/>
        <item x="1070"/>
        <item x="998"/>
        <item x="1033"/>
        <item x="556"/>
        <item x="1017"/>
        <item x="1056"/>
        <item x="932"/>
        <item x="8"/>
        <item x="468"/>
        <item x="602"/>
        <item x="29"/>
        <item x="188"/>
        <item x="660"/>
        <item x="687"/>
        <item x="671"/>
        <item x="669"/>
        <item x="705"/>
        <item x="803"/>
        <item x="662"/>
        <item x="340"/>
        <item x="191"/>
        <item x="906"/>
        <item x="736"/>
        <item x="507"/>
        <item x="1000"/>
        <item x="857"/>
        <item x="939"/>
        <item x="356"/>
        <item x="737"/>
        <item x="1091"/>
        <item x="843"/>
        <item x="628"/>
        <item x="979"/>
        <item x="912"/>
        <item x="38"/>
        <item x="313"/>
        <item x="1063"/>
        <item x="416"/>
        <item x="678"/>
        <item x="925"/>
        <item x="794"/>
        <item x="570"/>
        <item x="202"/>
        <item x="697"/>
        <item x="446"/>
        <item x="991"/>
        <item x="686"/>
        <item x="676"/>
        <item x="751"/>
        <item x="265"/>
        <item x="214"/>
        <item x="189"/>
        <item x="28"/>
        <item x="548"/>
        <item x="1047"/>
        <item x="787"/>
        <item x="91"/>
        <item x="844"/>
        <item x="303"/>
        <item x="412"/>
        <item x="428"/>
        <item x="16"/>
        <item x="904"/>
        <item x="1055"/>
        <item x="665"/>
        <item x="920"/>
        <item x="495"/>
        <item x="838"/>
        <item x="211"/>
        <item x="929"/>
        <item x="894"/>
        <item x="568"/>
        <item x="9"/>
        <item x="1057"/>
        <item x="856"/>
        <item x="2"/>
        <item x="1069"/>
        <item x="615"/>
        <item x="496"/>
        <item x="263"/>
        <item x="212"/>
        <item x="842"/>
        <item x="1002"/>
        <item x="77"/>
        <item x="638"/>
        <item x="805"/>
        <item x="43"/>
        <item x="882"/>
        <item x="682"/>
        <item x="467"/>
        <item x="518"/>
        <item x="695"/>
        <item x="840"/>
        <item x="566"/>
        <item x="119"/>
        <item x="632"/>
        <item x="555"/>
        <item x="276"/>
        <item x="503"/>
        <item x="738"/>
        <item x="878"/>
        <item x="691"/>
        <item x="873"/>
        <item x="369"/>
        <item x="122"/>
        <item x="383"/>
        <item x="430"/>
        <item x="936"/>
        <item x="404"/>
        <item x="410"/>
        <item x="885"/>
        <item x="876"/>
        <item x="969"/>
        <item x="213"/>
        <item x="186"/>
        <item x="465"/>
        <item x="583"/>
        <item x="740"/>
        <item x="195"/>
        <item x="385"/>
        <item x="339"/>
        <item x="301"/>
        <item x="946"/>
        <item x="567"/>
        <item x="304"/>
        <item x="950"/>
        <item x="517"/>
        <item x="368"/>
        <item x="451"/>
        <item x="454"/>
        <item x="926"/>
        <item x="650"/>
        <item x="1030"/>
        <item x="908"/>
        <item x="218"/>
        <item x="300"/>
        <item x="541"/>
        <item x="456"/>
        <item x="405"/>
        <item x="571"/>
        <item x="1082"/>
        <item x="745"/>
        <item x="578"/>
        <item x="325"/>
        <item x="576"/>
        <item x="812"/>
        <item x="612"/>
        <item x="577"/>
        <item x="954"/>
        <item x="864"/>
        <item x="435"/>
        <item x="1096"/>
        <item x="1090"/>
        <item x="1025"/>
        <item x="730"/>
        <item x="945"/>
        <item x="798"/>
        <item x="431"/>
        <item x="824"/>
        <item x="760"/>
        <item x="753"/>
        <item x="772"/>
        <item x="675"/>
        <item x="415"/>
        <item x="135"/>
        <item x="782"/>
        <item x="599"/>
        <item x="720"/>
        <item x="781"/>
        <item x="948"/>
        <item x="1089"/>
        <item x="896"/>
        <item x="874"/>
        <item x="582"/>
        <item x="862"/>
        <item x="562"/>
        <item x="443"/>
        <item x="907"/>
        <item x="881"/>
        <item x="587"/>
        <item x="68"/>
        <item x="579"/>
        <item x="639"/>
        <item x="154"/>
        <item x="744"/>
        <item x="763"/>
        <item x="589"/>
        <item x="808"/>
        <item x="1040"/>
        <item x="561"/>
        <item x="619"/>
        <item x="72"/>
        <item x="710"/>
        <item x="771"/>
        <item x="11"/>
        <item x="233"/>
        <item x="509"/>
        <item x="883"/>
        <item x="1029"/>
        <item x="413"/>
        <item x="630"/>
        <item x="69"/>
        <item x="81"/>
        <item x="398"/>
        <item x="800"/>
        <item x="44"/>
        <item x="308"/>
        <item x="995"/>
        <item x="586"/>
        <item x="400"/>
        <item x="892"/>
        <item x="264"/>
        <item x="620"/>
        <item x="947"/>
        <item x="429"/>
        <item x="780"/>
        <item x="342"/>
        <item x="768"/>
        <item x="157"/>
        <item x="521"/>
        <item x="742"/>
        <item x="395"/>
        <item x="140"/>
        <item x="558"/>
        <item x="1034"/>
        <item x="992"/>
        <item x="935"/>
        <item x="712"/>
        <item x="830"/>
        <item x="97"/>
        <item x="45"/>
        <item x="270"/>
        <item x="141"/>
        <item x="142"/>
        <item x="50"/>
        <item x="598"/>
        <item x="799"/>
        <item x="1020"/>
        <item x="490"/>
        <item x="531"/>
        <item x="924"/>
        <item x="438"/>
        <item x="601"/>
        <item x="324"/>
        <item x="85"/>
        <item x="1085"/>
        <item x="917"/>
        <item x="248"/>
        <item x="488"/>
        <item x="486"/>
        <item x="559"/>
        <item x="689"/>
        <item x="321"/>
        <item x="37"/>
        <item x="527"/>
        <item x="485"/>
        <item x="244"/>
        <item x="216"/>
        <item x="155"/>
        <item x="523"/>
        <item x="453"/>
        <item x="411"/>
        <item x="966"/>
        <item x="255"/>
        <item x="505"/>
        <item x="198"/>
        <item x="73"/>
        <item x="743"/>
        <item x="254"/>
        <item x="358"/>
        <item x="256"/>
        <item x="903"/>
        <item x="67"/>
        <item x="341"/>
        <item x="242"/>
        <item x="872"/>
        <item x="240"/>
        <item x="88"/>
        <item x="644"/>
        <item x="257"/>
        <item x="401"/>
        <item x="258"/>
        <item x="870"/>
        <item x="533"/>
        <item x="718"/>
        <item x="158"/>
        <item x="246"/>
        <item x="278"/>
        <item x="239"/>
        <item x="222"/>
        <item x="183"/>
        <item x="237"/>
        <item x="164"/>
        <item x="636"/>
        <item x="621"/>
        <item x="972"/>
        <item x="693"/>
        <item x="756"/>
        <item x="1031"/>
        <item x="625"/>
        <item x="348"/>
        <item x="259"/>
        <item x="349"/>
        <item x="146"/>
        <item x="252"/>
        <item x="160"/>
        <item x="394"/>
        <item x="221"/>
        <item x="402"/>
        <item x="452"/>
        <item x="367"/>
        <item x="156"/>
        <item x="163"/>
        <item x="289"/>
        <item x="167"/>
        <item x="271"/>
        <item x="312"/>
        <item x="319"/>
        <item x="245"/>
        <item x="474"/>
        <item x="238"/>
        <item x="785"/>
        <item x="247"/>
        <item x="250"/>
        <item x="659"/>
        <item x="241"/>
        <item x="253"/>
        <item x="382"/>
        <item x="754"/>
        <item x="902"/>
        <item x="1032"/>
        <item x="512"/>
        <item x="930"/>
        <item x="162"/>
        <item x="182"/>
        <item x="52"/>
        <item x="390"/>
        <item x="243"/>
        <item x="317"/>
        <item x="251"/>
        <item x="809"/>
        <item x="143"/>
        <item x="229"/>
        <item x="500"/>
        <item x="875"/>
        <item x="305"/>
        <item x="645"/>
        <item x="749"/>
        <item x="748"/>
        <item x="820"/>
        <item x="220"/>
        <item x="572"/>
        <item x="977"/>
        <item x="249"/>
        <item x="850"/>
        <item x="927"/>
        <item x="727"/>
        <item x="36"/>
        <item x="528"/>
        <item x="519"/>
        <item x="307"/>
        <item x="822"/>
        <item x="1026"/>
        <item x="1015"/>
        <item x="543"/>
        <item x="86"/>
        <item x="484"/>
        <item x="608"/>
        <item x="185"/>
        <item x="949"/>
        <item x="897"/>
        <item x="668"/>
        <item x="648"/>
        <item x="4"/>
        <item x="365"/>
        <item x="337"/>
        <item x="913"/>
        <item x="1051"/>
        <item x="868"/>
        <item x="968"/>
        <item x="984"/>
        <item x="475"/>
        <item x="941"/>
        <item x="1076"/>
        <item x="192"/>
        <item x="318"/>
        <item x="613"/>
        <item x="1003"/>
        <item x="347"/>
        <item x="1087"/>
        <item x="1100"/>
        <item x="640"/>
        <item x="534"/>
        <item x="766"/>
        <item x="593"/>
        <item x="700"/>
        <item x="964"/>
        <item x="461"/>
        <item x="139"/>
        <item x="26"/>
        <item x="126"/>
        <item x="990"/>
        <item x="445"/>
        <item x="699"/>
        <item x="379"/>
        <item x="643"/>
        <item x="508"/>
        <item x="728"/>
        <item x="275"/>
        <item x="406"/>
        <item x="865"/>
        <item x="529"/>
        <item x="910"/>
        <item x="492"/>
        <item x="1071"/>
        <item x="776"/>
        <item x="994"/>
        <item x="13"/>
        <item x="732"/>
        <item x="734"/>
        <item x="914"/>
        <item x="633"/>
        <item x="281"/>
        <item x="596"/>
        <item x="767"/>
        <item x="232"/>
        <item x="184"/>
        <item x="333"/>
        <item x="545"/>
        <item x="363"/>
        <item x="331"/>
        <item x="1024"/>
        <item x="1009"/>
        <item x="74"/>
        <item x="364"/>
        <item x="355"/>
        <item x="871"/>
        <item x="471"/>
        <item x="536"/>
        <item x="580"/>
        <item x="837"/>
        <item x="131"/>
        <item x="655"/>
        <item x="425"/>
        <item x="27"/>
        <item x="283"/>
        <item x="510"/>
        <item x="295"/>
        <item x="802"/>
        <item x="959"/>
        <item x="758"/>
        <item x="733"/>
        <item x="330"/>
        <item x="120"/>
        <item x="287"/>
        <item x="47"/>
        <item x="203"/>
        <item x="752"/>
        <item x="983"/>
        <item x="479"/>
        <item x="860"/>
        <item x="7"/>
        <item x="315"/>
        <item x="380"/>
        <item x="777"/>
        <item x="651"/>
        <item x="511"/>
        <item x="900"/>
        <item x="594"/>
        <item x="470"/>
        <item x="647"/>
        <item x="48"/>
        <item x="469"/>
        <item x="993"/>
        <item x="515"/>
        <item x="832"/>
        <item x="159"/>
        <item x="161"/>
        <item x="460"/>
        <item x="714"/>
        <item x="713"/>
        <item x="441"/>
        <item x="1080"/>
        <item x="642"/>
        <item x="310"/>
        <item x="179"/>
        <item x="397"/>
        <item x="92"/>
        <item x="616"/>
        <item x="181"/>
        <item x="1098"/>
        <item x="458"/>
        <item x="147"/>
        <item x="235"/>
        <item x="1041"/>
        <item x="22"/>
        <item x="306"/>
        <item x="487"/>
        <item x="269"/>
        <item x="272"/>
        <item x="611"/>
        <item x="375"/>
        <item x="472"/>
        <item x="419"/>
        <item x="173"/>
        <item x="573"/>
        <item x="1067"/>
        <item x="1094"/>
        <item x="724"/>
        <item x="234"/>
        <item x="78"/>
        <item x="150"/>
        <item x="180"/>
        <item x="165"/>
        <item x="901"/>
        <item x="552"/>
        <item x="731"/>
        <item x="148"/>
        <item x="344"/>
        <item x="175"/>
        <item x="859"/>
        <item x="266"/>
        <item x="291"/>
        <item x="747"/>
        <item x="197"/>
        <item x="144"/>
        <item x="354"/>
        <item x="298"/>
        <item x="14"/>
        <item x="1065"/>
        <item x="526"/>
        <item x="130"/>
        <item x="765"/>
        <item x="149"/>
        <item x="208"/>
        <item x="476"/>
        <item x="432"/>
        <item x="178"/>
        <item x="923"/>
        <item x="849"/>
        <item x="177"/>
        <item x="51"/>
        <item x="807"/>
        <item x="399"/>
        <item x="1021"/>
        <item x="887"/>
        <item x="715"/>
        <item x="963"/>
        <item x="169"/>
        <item x="784"/>
        <item x="204"/>
        <item x="170"/>
        <item x="684"/>
        <item x="236"/>
        <item x="388"/>
        <item x="958"/>
        <item x="502"/>
        <item x="965"/>
        <item x="493"/>
        <item x="396"/>
        <item x="345"/>
        <item x="1064"/>
        <item x="1073"/>
        <item x="664"/>
        <item x="708"/>
        <item x="1036"/>
        <item x="19"/>
        <item x="284"/>
        <item x="974"/>
        <item x="603"/>
        <item x="437"/>
        <item x="516"/>
        <item x="652"/>
        <item x="704"/>
        <item x="193"/>
        <item x="105"/>
        <item x="960"/>
        <item x="494"/>
        <item x="542"/>
        <item x="790"/>
        <item x="408"/>
        <item x="371"/>
        <item x="614"/>
        <item x="384"/>
        <item x="764"/>
        <item x="464"/>
        <item x="346"/>
        <item x="351"/>
        <item x="801"/>
        <item x="673"/>
        <item x="698"/>
        <item x="778"/>
        <item x="841"/>
        <item x="982"/>
        <item x="224"/>
        <item x="626"/>
        <item x="96"/>
        <item x="83"/>
        <item x="694"/>
        <item x="667"/>
        <item x="294"/>
        <item x="21"/>
        <item x="522"/>
        <item x="277"/>
        <item x="309"/>
        <item x="231"/>
        <item x="825"/>
        <item x="759"/>
        <item x="685"/>
        <item x="498"/>
        <item x="916"/>
        <item x="997"/>
        <item x="483"/>
        <item x="725"/>
        <item x="1059"/>
        <item x="1045"/>
        <item x="606"/>
        <item x="70"/>
        <item x="940"/>
        <item x="581"/>
        <item x="971"/>
        <item x="1050"/>
        <item x="867"/>
        <item x="791"/>
        <item x="1005"/>
        <item x="282"/>
        <item x="320"/>
        <item x="293"/>
        <item x="627"/>
        <item x="553"/>
        <item x="858"/>
        <item x="1054"/>
        <item x="750"/>
        <item x="206"/>
        <item x="207"/>
        <item x="373"/>
        <item x="166"/>
        <item x="103"/>
        <item x="549"/>
        <item x="677"/>
        <item x="174"/>
        <item x="210"/>
        <item x="115"/>
        <item x="226"/>
        <item x="153"/>
        <item x="672"/>
        <item x="450"/>
        <item x="899"/>
        <item x="735"/>
        <item x="999"/>
        <item x="886"/>
        <item x="565"/>
        <item x="739"/>
        <item x="407"/>
        <item x="392"/>
        <item x="326"/>
        <item x="316"/>
        <item x="54"/>
        <item x="1072"/>
        <item x="42"/>
        <item x="795"/>
        <item x="996"/>
        <item x="513"/>
        <item x="646"/>
        <item x="793"/>
        <item x="423"/>
        <item x="151"/>
        <item x="268"/>
        <item x="41"/>
        <item x="205"/>
        <item x="228"/>
        <item x="610"/>
        <item x="374"/>
        <item x="590"/>
        <item x="1039"/>
        <item x="101"/>
        <item x="209"/>
        <item x="386"/>
        <item x="328"/>
        <item x="884"/>
        <item x="973"/>
        <item x="1099"/>
        <item x="569"/>
        <item x="658"/>
        <item x="128"/>
        <item x="967"/>
        <item x="711"/>
        <item x="617"/>
        <item x="634"/>
        <item x="127"/>
        <item x="961"/>
        <item x="459"/>
        <item x="937"/>
        <item x="755"/>
        <item x="1043"/>
        <item x="891"/>
        <item x="343"/>
        <item x="532"/>
        <item x="544"/>
        <item x="370"/>
        <item x="574"/>
        <item x="934"/>
        <item x="71"/>
        <item x="524"/>
        <item x="79"/>
        <item x="227"/>
        <item x="442"/>
        <item x="466"/>
        <item x="978"/>
        <item x="986"/>
        <item x="1053"/>
        <item x="39"/>
        <item x="482"/>
        <item x="1048"/>
        <item x="680"/>
        <item x="491"/>
        <item x="357"/>
        <item x="260"/>
        <item x="525"/>
        <item x="893"/>
        <item x="988"/>
        <item x="187"/>
        <item x="779"/>
        <item x="457"/>
        <item x="746"/>
        <item x="455"/>
        <item x="311"/>
        <item x="200"/>
        <item x="1086"/>
        <item x="796"/>
        <item x="928"/>
        <item x="1006"/>
        <item x="591"/>
        <item x="919"/>
        <item x="314"/>
        <item x="393"/>
        <item x="605"/>
        <item x="292"/>
        <item x="273"/>
        <item x="688"/>
        <item x="789"/>
        <item x="40"/>
        <item x="1004"/>
        <item x="563"/>
        <item x="134"/>
        <item x="372"/>
        <item x="376"/>
        <item x="854"/>
        <item x="1077"/>
        <item x="444"/>
        <item x="280"/>
        <item x="223"/>
        <item x="674"/>
        <item x="1022"/>
        <item x="420"/>
        <item x="352"/>
        <item x="76"/>
        <item x="1016"/>
        <item x="336"/>
        <item x="117"/>
        <item x="267"/>
        <item x="129"/>
        <item x="378"/>
        <item x="409"/>
        <item x="833"/>
        <item x="176"/>
        <item x="102"/>
        <item x="775"/>
        <item x="391"/>
        <item x="152"/>
        <item x="279"/>
        <item x="597"/>
        <item x="196"/>
        <item x="338"/>
        <item x="729"/>
        <item x="942"/>
        <item x="721"/>
        <item x="702"/>
        <item x="1062"/>
        <item x="6"/>
        <item x="334"/>
        <item x="909"/>
        <item x="970"/>
        <item x="17"/>
        <item x="172"/>
        <item x="535"/>
        <item x="922"/>
        <item x="774"/>
        <item x="879"/>
        <item x="788"/>
        <item x="564"/>
        <item x="132"/>
        <item x="880"/>
        <item x="1066"/>
        <item x="944"/>
        <item x="137"/>
        <item x="1093"/>
        <item x="18"/>
        <item x="286"/>
        <item x="114"/>
        <item x="109"/>
        <item x="649"/>
        <item x="757"/>
        <item x="377"/>
        <item x="32"/>
        <item x="53"/>
        <item x="976"/>
        <item x="360"/>
        <item x="623"/>
        <item x="387"/>
        <item x="1011"/>
        <item x="463"/>
        <item x="56"/>
        <item x="34"/>
        <item x="106"/>
        <item x="696"/>
        <item x="98"/>
        <item x="869"/>
        <item x="1018"/>
        <item x="112"/>
        <item x="366"/>
        <item x="107"/>
        <item x="439"/>
        <item x="783"/>
        <item x="64"/>
        <item x="123"/>
        <item x="361"/>
        <item x="335"/>
        <item x="230"/>
        <item x="1001"/>
        <item x="656"/>
        <item x="888"/>
        <item x="703"/>
        <item x="417"/>
        <item x="537"/>
        <item x="637"/>
        <item x="1097"/>
        <item x="15"/>
        <item x="288"/>
        <item x="10"/>
        <item x="58"/>
        <item x="290"/>
        <item x="66"/>
        <item x="261"/>
        <item x="595"/>
        <item x="168"/>
        <item x="792"/>
        <item x="741"/>
        <item x="217"/>
        <item x="657"/>
        <item x="989"/>
        <item x="826"/>
        <item x="819"/>
        <item x="111"/>
        <item x="473"/>
        <item x="108"/>
        <item x="987"/>
        <item x="296"/>
        <item x="1049"/>
        <item x="560"/>
        <item x="501"/>
        <item x="299"/>
        <item x="851"/>
        <item x="723"/>
        <item x="706"/>
        <item x="87"/>
        <item x="692"/>
        <item x="538"/>
        <item x="447"/>
        <item x="65"/>
        <item x="12"/>
        <item x="61"/>
        <item x="57"/>
        <item x="199"/>
        <item x="1081"/>
        <item x="329"/>
        <item x="59"/>
        <item x="422"/>
        <item x="421"/>
        <item x="585"/>
        <item x="1010"/>
        <item x="846"/>
        <item x="94"/>
        <item x="62"/>
        <item x="931"/>
        <item x="60"/>
        <item x="63"/>
        <item x="75"/>
        <item x="957"/>
        <item x="905"/>
        <item x="46"/>
        <item x="1019"/>
        <item x="938"/>
        <item x="55"/>
        <item x="654"/>
        <item x="427"/>
        <item x="1068"/>
        <item x="980"/>
        <item x="1007"/>
        <item x="35"/>
        <item x="113"/>
        <item x="717"/>
        <item x="855"/>
        <item x="145"/>
        <item x="852"/>
        <item x="353"/>
        <item x="110"/>
        <item x="1078"/>
        <item x="690"/>
        <item x="663"/>
        <item x="225"/>
        <item x="540"/>
        <item x="23"/>
        <item x="895"/>
        <item x="866"/>
        <item x="679"/>
        <item x="952"/>
        <item x="853"/>
        <item x="89"/>
        <item x="1008"/>
        <item x="1044"/>
        <item x="653"/>
        <item x="1037"/>
        <item x="31"/>
        <item x="839"/>
        <item x="1013"/>
        <item x="836"/>
        <item x="547"/>
        <item x="815"/>
        <item x="1035"/>
        <item x="592"/>
        <item x="20"/>
        <item x="821"/>
        <item x="661"/>
        <item x="190"/>
        <item x="82"/>
        <item x="607"/>
        <item x="600"/>
        <item x="49"/>
        <item x="5"/>
        <item x="951"/>
        <item x="1074"/>
        <item x="93"/>
        <item x="25"/>
        <item x="426"/>
        <item x="827"/>
        <item x="817"/>
        <item x="814"/>
        <item x="433"/>
        <item x="332"/>
        <item x="1046"/>
        <item x="956"/>
        <item x="462"/>
        <item x="641"/>
        <item x="889"/>
        <item x="769"/>
        <item x="136"/>
        <item x="514"/>
        <item x="828"/>
        <item x="448"/>
        <item x="80"/>
        <item x="1"/>
        <item x="813"/>
        <item x="584"/>
        <item x="609"/>
        <item x="124"/>
        <item x="481"/>
        <item x="504"/>
        <item x="480"/>
        <item x="478"/>
        <item x="403"/>
        <item x="477"/>
        <item x="1014"/>
        <item x="719"/>
        <item x="818"/>
        <item x="1088"/>
        <item x="539"/>
        <item x="489"/>
        <item x="861"/>
        <item x="835"/>
        <item x="624"/>
        <item x="834"/>
        <item x="506"/>
        <item x="381"/>
        <item t="default"/>
      </items>
    </pivotField>
    <pivotField axis="axisPage" multipleItemSelectionAllowed="1" showAll="0">
      <items count="11">
        <item h="1" x="9"/>
        <item h="1" x="8"/>
        <item x="7"/>
        <item h="1" x="5"/>
        <item h="1" x="6"/>
        <item x="2"/>
        <item h="1" x="3"/>
        <item h="1" x="0"/>
        <item h="1" x="1"/>
        <item h="1" x="4"/>
        <item t="default"/>
      </items>
    </pivotField>
  </pivotFields>
  <rowFields count="1">
    <field x="0"/>
  </rowFields>
  <rowItems count="29">
    <i>
      <x v="3"/>
    </i>
    <i>
      <x v="4"/>
    </i>
    <i>
      <x v="6"/>
    </i>
    <i>
      <x v="8"/>
    </i>
    <i>
      <x v="11"/>
    </i>
    <i>
      <x v="12"/>
    </i>
    <i>
      <x v="13"/>
    </i>
    <i>
      <x v="14"/>
    </i>
    <i>
      <x v="16"/>
    </i>
    <i>
      <x v="17"/>
    </i>
    <i>
      <x v="19"/>
    </i>
    <i>
      <x v="21"/>
    </i>
    <i>
      <x v="25"/>
    </i>
    <i>
      <x v="28"/>
    </i>
    <i>
      <x v="31"/>
    </i>
    <i>
      <x v="33"/>
    </i>
    <i>
      <x v="36"/>
    </i>
    <i>
      <x v="37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50"/>
    </i>
    <i>
      <x v="53"/>
    </i>
    <i t="grand">
      <x/>
    </i>
  </rowItems>
  <colItems count="1">
    <i/>
  </colItems>
  <pageFields count="1">
    <pageField fld="8" hier="-1"/>
  </pageFields>
  <dataFields count="1">
    <dataField name="Suma de Importe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0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41" bestFit="1" customWidth="1"/>
    <col min="2" max="2" width="7.6640625" bestFit="1" customWidth="1"/>
    <col min="3" max="5" width="28.6640625" style="3" bestFit="1" customWidth="1"/>
    <col min="6" max="6" width="16.6640625" style="3" bestFit="1" customWidth="1"/>
    <col min="7" max="8" width="8.1640625" bestFit="1" customWidth="1"/>
    <col min="9" max="9" width="11.83203125" bestFit="1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3">
        <v>43698</v>
      </c>
      <c r="D2" s="3">
        <v>43698</v>
      </c>
      <c r="E2" s="3">
        <v>43705</v>
      </c>
      <c r="G2">
        <v>1458</v>
      </c>
      <c r="H2">
        <v>1691.28</v>
      </c>
      <c r="I2" t="s">
        <v>11</v>
      </c>
    </row>
    <row r="3" spans="1:9" x14ac:dyDescent="0.2">
      <c r="A3" t="s">
        <v>12</v>
      </c>
      <c r="B3" t="s">
        <v>10</v>
      </c>
      <c r="C3" s="3">
        <v>43698</v>
      </c>
      <c r="D3" s="3">
        <v>43698</v>
      </c>
      <c r="E3" s="3">
        <v>43728</v>
      </c>
      <c r="G3">
        <v>105432</v>
      </c>
      <c r="H3">
        <v>105432</v>
      </c>
      <c r="I3" t="s">
        <v>11</v>
      </c>
    </row>
    <row r="4" spans="1:9" x14ac:dyDescent="0.2">
      <c r="A4" t="s">
        <v>13</v>
      </c>
      <c r="B4" t="s">
        <v>10</v>
      </c>
      <c r="C4" s="3">
        <v>43698</v>
      </c>
      <c r="D4" s="3">
        <v>43698</v>
      </c>
      <c r="E4" s="3">
        <v>43728</v>
      </c>
      <c r="G4">
        <v>3065</v>
      </c>
      <c r="H4">
        <v>3555.4</v>
      </c>
      <c r="I4" t="s">
        <v>11</v>
      </c>
    </row>
    <row r="5" spans="1:9" x14ac:dyDescent="0.2">
      <c r="A5" t="s">
        <v>9</v>
      </c>
      <c r="B5" t="s">
        <v>10</v>
      </c>
      <c r="C5" s="3">
        <v>43697</v>
      </c>
      <c r="D5" s="3">
        <v>43692</v>
      </c>
      <c r="E5" s="3">
        <v>43704</v>
      </c>
      <c r="G5">
        <v>1236</v>
      </c>
      <c r="H5">
        <v>1433.76</v>
      </c>
      <c r="I5" t="s">
        <v>11</v>
      </c>
    </row>
    <row r="6" spans="1:9" x14ac:dyDescent="0.2">
      <c r="A6" t="s">
        <v>9</v>
      </c>
      <c r="B6" t="s">
        <v>14</v>
      </c>
      <c r="C6" s="3">
        <v>43697</v>
      </c>
      <c r="D6" s="3">
        <v>43692</v>
      </c>
      <c r="E6" s="3">
        <v>43704</v>
      </c>
      <c r="F6" s="3">
        <v>43697</v>
      </c>
      <c r="G6">
        <v>1236</v>
      </c>
      <c r="H6">
        <v>1433.76</v>
      </c>
      <c r="I6" t="s">
        <v>11</v>
      </c>
    </row>
    <row r="7" spans="1:9" x14ac:dyDescent="0.2">
      <c r="A7" t="s">
        <v>9</v>
      </c>
      <c r="B7" t="s">
        <v>14</v>
      </c>
      <c r="C7" s="3">
        <v>43697</v>
      </c>
      <c r="D7" s="3">
        <v>43692</v>
      </c>
      <c r="E7" s="3">
        <v>43704</v>
      </c>
      <c r="F7" s="3">
        <v>43697</v>
      </c>
      <c r="G7">
        <v>1236</v>
      </c>
      <c r="H7">
        <v>1433.76</v>
      </c>
      <c r="I7" t="s">
        <v>11</v>
      </c>
    </row>
    <row r="8" spans="1:9" x14ac:dyDescent="0.2">
      <c r="A8" t="s">
        <v>15</v>
      </c>
      <c r="B8" t="s">
        <v>10</v>
      </c>
      <c r="C8" s="3">
        <v>43696</v>
      </c>
      <c r="D8" s="3">
        <v>43696</v>
      </c>
      <c r="E8" s="3">
        <v>43716</v>
      </c>
      <c r="G8">
        <v>9133.2000000000007</v>
      </c>
      <c r="H8">
        <v>10594.5</v>
      </c>
      <c r="I8" t="s">
        <v>11</v>
      </c>
    </row>
    <row r="9" spans="1:9" x14ac:dyDescent="0.2">
      <c r="A9" t="s">
        <v>16</v>
      </c>
      <c r="B9" t="s">
        <v>10</v>
      </c>
      <c r="C9" s="3">
        <v>43693</v>
      </c>
      <c r="D9" s="3">
        <v>43693</v>
      </c>
      <c r="E9" s="3">
        <v>43708</v>
      </c>
      <c r="G9">
        <v>69960</v>
      </c>
      <c r="H9">
        <v>81153.600000000006</v>
      </c>
      <c r="I9" t="s">
        <v>11</v>
      </c>
    </row>
    <row r="10" spans="1:9" x14ac:dyDescent="0.2">
      <c r="A10" t="s">
        <v>17</v>
      </c>
      <c r="B10" t="s">
        <v>10</v>
      </c>
      <c r="C10" s="3">
        <v>43692</v>
      </c>
      <c r="D10" s="3">
        <v>43692</v>
      </c>
      <c r="E10" s="3">
        <v>43737</v>
      </c>
      <c r="G10">
        <v>31069</v>
      </c>
      <c r="H10">
        <v>36040</v>
      </c>
      <c r="I10" t="s">
        <v>11</v>
      </c>
    </row>
    <row r="11" spans="1:9" x14ac:dyDescent="0.2">
      <c r="A11" t="s">
        <v>18</v>
      </c>
      <c r="B11" t="s">
        <v>10</v>
      </c>
      <c r="C11" s="3">
        <v>43692</v>
      </c>
      <c r="D11" s="3">
        <v>43692</v>
      </c>
      <c r="E11" s="3">
        <v>43722</v>
      </c>
      <c r="G11">
        <v>12496</v>
      </c>
      <c r="H11">
        <v>14495.3</v>
      </c>
      <c r="I11" t="s">
        <v>11</v>
      </c>
    </row>
    <row r="12" spans="1:9" x14ac:dyDescent="0.2">
      <c r="A12" t="s">
        <v>19</v>
      </c>
      <c r="B12" t="s">
        <v>10</v>
      </c>
      <c r="C12" s="3">
        <v>43690</v>
      </c>
      <c r="D12" s="3">
        <v>43690</v>
      </c>
      <c r="E12" s="3">
        <v>43705</v>
      </c>
      <c r="G12">
        <v>2176</v>
      </c>
      <c r="H12">
        <v>2524.16</v>
      </c>
      <c r="I12" t="s">
        <v>11</v>
      </c>
    </row>
    <row r="13" spans="1:9" x14ac:dyDescent="0.2">
      <c r="A13" t="s">
        <v>15</v>
      </c>
      <c r="B13" t="s">
        <v>10</v>
      </c>
      <c r="C13" s="3">
        <v>43690</v>
      </c>
      <c r="D13" s="3">
        <v>43690</v>
      </c>
      <c r="E13" s="3">
        <v>43710</v>
      </c>
      <c r="G13">
        <v>3018.6</v>
      </c>
      <c r="H13">
        <v>3501.58</v>
      </c>
      <c r="I13" t="s">
        <v>11</v>
      </c>
    </row>
    <row r="14" spans="1:9" x14ac:dyDescent="0.2">
      <c r="A14" t="s">
        <v>19</v>
      </c>
      <c r="B14" t="s">
        <v>10</v>
      </c>
      <c r="C14" s="3">
        <v>43689</v>
      </c>
      <c r="D14" s="3">
        <v>43672</v>
      </c>
      <c r="E14" s="3">
        <v>43704</v>
      </c>
      <c r="G14">
        <v>39406</v>
      </c>
      <c r="H14">
        <v>45710.9</v>
      </c>
      <c r="I14" t="s">
        <v>11</v>
      </c>
    </row>
    <row r="15" spans="1:9" x14ac:dyDescent="0.2">
      <c r="A15" t="s">
        <v>19</v>
      </c>
      <c r="B15" t="s">
        <v>10</v>
      </c>
      <c r="C15" s="3">
        <v>43689</v>
      </c>
      <c r="D15" s="3">
        <v>43670</v>
      </c>
      <c r="E15" s="3">
        <v>43704</v>
      </c>
      <c r="G15">
        <v>5349</v>
      </c>
      <c r="H15">
        <v>6204.84</v>
      </c>
      <c r="I15" t="s">
        <v>11</v>
      </c>
    </row>
    <row r="16" spans="1:9" x14ac:dyDescent="0.2">
      <c r="A16" t="s">
        <v>19</v>
      </c>
      <c r="B16" t="s">
        <v>10</v>
      </c>
      <c r="C16" s="3">
        <v>43689</v>
      </c>
      <c r="D16" s="3">
        <v>43669</v>
      </c>
      <c r="E16" s="3">
        <v>43704</v>
      </c>
      <c r="G16">
        <v>44895</v>
      </c>
      <c r="H16">
        <v>52078.2</v>
      </c>
      <c r="I16" t="s">
        <v>11</v>
      </c>
    </row>
    <row r="17" spans="1:9" x14ac:dyDescent="0.2">
      <c r="A17" t="s">
        <v>19</v>
      </c>
      <c r="B17" t="s">
        <v>10</v>
      </c>
      <c r="C17" s="3">
        <v>43689</v>
      </c>
      <c r="D17" s="3">
        <v>43665</v>
      </c>
      <c r="E17" s="3">
        <v>43704</v>
      </c>
      <c r="G17">
        <v>10584</v>
      </c>
      <c r="H17">
        <v>12277.4</v>
      </c>
      <c r="I17" t="s">
        <v>11</v>
      </c>
    </row>
    <row r="18" spans="1:9" x14ac:dyDescent="0.2">
      <c r="A18" t="s">
        <v>19</v>
      </c>
      <c r="B18" t="s">
        <v>10</v>
      </c>
      <c r="C18" s="3">
        <v>43689</v>
      </c>
      <c r="D18" s="3">
        <v>43664</v>
      </c>
      <c r="E18" s="3">
        <v>43704</v>
      </c>
      <c r="G18">
        <v>14579</v>
      </c>
      <c r="H18">
        <v>16911.599999999999</v>
      </c>
      <c r="I18" t="s">
        <v>11</v>
      </c>
    </row>
    <row r="19" spans="1:9" x14ac:dyDescent="0.2">
      <c r="A19" t="s">
        <v>19</v>
      </c>
      <c r="B19" t="s">
        <v>14</v>
      </c>
      <c r="C19" s="3">
        <v>43689</v>
      </c>
      <c r="D19" s="3">
        <v>43664</v>
      </c>
      <c r="E19" s="3">
        <v>43704</v>
      </c>
      <c r="F19" s="3">
        <v>43689</v>
      </c>
      <c r="G19">
        <v>14579</v>
      </c>
      <c r="H19">
        <v>16911.599999999999</v>
      </c>
      <c r="I19" t="s">
        <v>11</v>
      </c>
    </row>
    <row r="20" spans="1:9" x14ac:dyDescent="0.2">
      <c r="A20" t="s">
        <v>19</v>
      </c>
      <c r="B20" t="s">
        <v>10</v>
      </c>
      <c r="C20" s="3">
        <v>43689</v>
      </c>
      <c r="D20" s="3">
        <v>43664</v>
      </c>
      <c r="E20" s="3">
        <v>43704</v>
      </c>
      <c r="G20">
        <v>39265</v>
      </c>
      <c r="H20">
        <v>45547.4</v>
      </c>
      <c r="I20" t="s">
        <v>11</v>
      </c>
    </row>
    <row r="21" spans="1:9" x14ac:dyDescent="0.2">
      <c r="A21" t="s">
        <v>19</v>
      </c>
      <c r="B21" t="s">
        <v>10</v>
      </c>
      <c r="C21" s="3">
        <v>43689</v>
      </c>
      <c r="D21" s="3">
        <v>43664</v>
      </c>
      <c r="E21" s="3">
        <v>43704</v>
      </c>
      <c r="G21">
        <v>2811</v>
      </c>
      <c r="H21">
        <v>3260.76</v>
      </c>
      <c r="I21" t="s">
        <v>11</v>
      </c>
    </row>
    <row r="22" spans="1:9" x14ac:dyDescent="0.2">
      <c r="A22" t="s">
        <v>19</v>
      </c>
      <c r="B22" t="s">
        <v>10</v>
      </c>
      <c r="C22" s="3">
        <v>43689</v>
      </c>
      <c r="D22" s="3">
        <v>43664</v>
      </c>
      <c r="E22" s="3">
        <v>43704</v>
      </c>
      <c r="G22">
        <v>31724</v>
      </c>
      <c r="H22">
        <v>36799.800000000003</v>
      </c>
      <c r="I22" t="s">
        <v>11</v>
      </c>
    </row>
    <row r="23" spans="1:9" x14ac:dyDescent="0.2">
      <c r="A23" t="s">
        <v>19</v>
      </c>
      <c r="B23" t="s">
        <v>14</v>
      </c>
      <c r="C23" s="3">
        <v>43689</v>
      </c>
      <c r="D23" s="3">
        <v>43664</v>
      </c>
      <c r="E23" s="3">
        <v>43704</v>
      </c>
      <c r="F23" s="3">
        <v>43689</v>
      </c>
      <c r="G23">
        <v>31724</v>
      </c>
      <c r="H23">
        <v>36799.800000000003</v>
      </c>
      <c r="I23" t="s">
        <v>11</v>
      </c>
    </row>
    <row r="24" spans="1:9" x14ac:dyDescent="0.2">
      <c r="A24" t="s">
        <v>19</v>
      </c>
      <c r="B24" t="s">
        <v>10</v>
      </c>
      <c r="C24" s="3">
        <v>43689</v>
      </c>
      <c r="D24" s="3">
        <v>43664</v>
      </c>
      <c r="E24" s="3">
        <v>43704</v>
      </c>
      <c r="G24">
        <v>34277</v>
      </c>
      <c r="H24">
        <v>39761.300000000003</v>
      </c>
      <c r="I24" t="s">
        <v>11</v>
      </c>
    </row>
    <row r="25" spans="1:9" x14ac:dyDescent="0.2">
      <c r="A25" t="s">
        <v>18</v>
      </c>
      <c r="B25" t="s">
        <v>10</v>
      </c>
      <c r="C25" s="3">
        <v>43685</v>
      </c>
      <c r="D25" s="3">
        <v>43685</v>
      </c>
      <c r="E25" s="3">
        <v>43715</v>
      </c>
      <c r="G25">
        <v>16480</v>
      </c>
      <c r="H25">
        <v>19116.8</v>
      </c>
      <c r="I25" t="s">
        <v>11</v>
      </c>
    </row>
    <row r="26" spans="1:9" x14ac:dyDescent="0.2">
      <c r="A26" t="s">
        <v>17</v>
      </c>
      <c r="B26" t="s">
        <v>10</v>
      </c>
      <c r="C26" s="3">
        <v>43685</v>
      </c>
      <c r="D26" s="3">
        <v>43685</v>
      </c>
      <c r="E26" s="3">
        <v>43730</v>
      </c>
      <c r="G26">
        <v>62138</v>
      </c>
      <c r="H26">
        <v>72080</v>
      </c>
      <c r="I26" t="s">
        <v>11</v>
      </c>
    </row>
    <row r="27" spans="1:9" x14ac:dyDescent="0.2">
      <c r="A27" t="s">
        <v>20</v>
      </c>
      <c r="B27" t="s">
        <v>10</v>
      </c>
      <c r="C27" s="3">
        <v>43685</v>
      </c>
      <c r="D27" s="3">
        <v>43683</v>
      </c>
      <c r="E27" s="3">
        <v>43730</v>
      </c>
      <c r="G27">
        <v>18302</v>
      </c>
      <c r="H27">
        <v>21230.3</v>
      </c>
      <c r="I27" t="s">
        <v>11</v>
      </c>
    </row>
    <row r="28" spans="1:9" x14ac:dyDescent="0.2">
      <c r="A28" t="s">
        <v>18</v>
      </c>
      <c r="B28" t="s">
        <v>10</v>
      </c>
      <c r="C28" s="3">
        <v>43684</v>
      </c>
      <c r="D28" s="3">
        <v>43683</v>
      </c>
      <c r="E28" s="3">
        <v>43714</v>
      </c>
      <c r="G28">
        <v>13805</v>
      </c>
      <c r="H28">
        <v>16013.8</v>
      </c>
      <c r="I28" t="s">
        <v>11</v>
      </c>
    </row>
    <row r="29" spans="1:9" x14ac:dyDescent="0.2">
      <c r="A29" t="s">
        <v>15</v>
      </c>
      <c r="B29" t="s">
        <v>10</v>
      </c>
      <c r="C29" s="3">
        <v>43683</v>
      </c>
      <c r="D29" s="3">
        <v>43683</v>
      </c>
      <c r="E29" s="3">
        <v>43703</v>
      </c>
      <c r="G29">
        <v>52186.9</v>
      </c>
      <c r="H29">
        <v>60536.800000000003</v>
      </c>
      <c r="I29" t="s">
        <v>11</v>
      </c>
    </row>
    <row r="30" spans="1:9" x14ac:dyDescent="0.2">
      <c r="A30" t="s">
        <v>19</v>
      </c>
      <c r="B30" t="s">
        <v>10</v>
      </c>
      <c r="C30" s="3">
        <v>43682</v>
      </c>
      <c r="D30" s="3">
        <v>43682</v>
      </c>
      <c r="E30" s="3">
        <v>43697</v>
      </c>
      <c r="G30">
        <v>179</v>
      </c>
      <c r="H30">
        <v>207.64</v>
      </c>
      <c r="I30" t="s">
        <v>11</v>
      </c>
    </row>
    <row r="31" spans="1:9" x14ac:dyDescent="0.2">
      <c r="A31" t="s">
        <v>16</v>
      </c>
      <c r="B31" t="s">
        <v>10</v>
      </c>
      <c r="C31" s="3">
        <v>43679</v>
      </c>
      <c r="D31" s="3">
        <v>43679</v>
      </c>
      <c r="E31" s="3">
        <v>43694</v>
      </c>
      <c r="G31">
        <v>71070</v>
      </c>
      <c r="H31">
        <v>82441.2</v>
      </c>
      <c r="I31" t="s">
        <v>11</v>
      </c>
    </row>
    <row r="32" spans="1:9" x14ac:dyDescent="0.2">
      <c r="A32" t="s">
        <v>15</v>
      </c>
      <c r="B32" t="s">
        <v>10</v>
      </c>
      <c r="C32" s="3">
        <v>43679</v>
      </c>
      <c r="D32" s="3">
        <v>43678</v>
      </c>
      <c r="E32" s="3">
        <v>43699</v>
      </c>
      <c r="G32">
        <v>10100.700000000001</v>
      </c>
      <c r="H32">
        <v>11716.8</v>
      </c>
      <c r="I32" t="s">
        <v>11</v>
      </c>
    </row>
    <row r="33" spans="1:9" x14ac:dyDescent="0.2">
      <c r="A33" t="s">
        <v>15</v>
      </c>
      <c r="B33" t="s">
        <v>14</v>
      </c>
      <c r="C33" s="3">
        <v>43678</v>
      </c>
      <c r="D33" s="3">
        <v>43678</v>
      </c>
      <c r="E33" s="3">
        <v>43698</v>
      </c>
      <c r="F33" s="3">
        <v>43678</v>
      </c>
      <c r="G33">
        <v>9810.4500000000007</v>
      </c>
      <c r="H33">
        <v>11380.1</v>
      </c>
      <c r="I33" t="s">
        <v>11</v>
      </c>
    </row>
    <row r="34" spans="1:9" x14ac:dyDescent="0.2">
      <c r="A34" t="s">
        <v>15</v>
      </c>
      <c r="B34" t="s">
        <v>10</v>
      </c>
      <c r="C34" s="3">
        <v>43677</v>
      </c>
      <c r="D34" s="3">
        <v>43677</v>
      </c>
      <c r="E34" s="3">
        <v>43697</v>
      </c>
      <c r="G34">
        <v>11661</v>
      </c>
      <c r="H34">
        <v>13526.7</v>
      </c>
      <c r="I34" t="s">
        <v>11</v>
      </c>
    </row>
    <row r="35" spans="1:9" x14ac:dyDescent="0.2">
      <c r="A35" t="s">
        <v>21</v>
      </c>
      <c r="B35" t="s">
        <v>10</v>
      </c>
      <c r="C35" s="3">
        <v>43676</v>
      </c>
      <c r="D35" s="3">
        <v>43676</v>
      </c>
      <c r="E35" s="3">
        <v>43683</v>
      </c>
      <c r="G35">
        <v>2688</v>
      </c>
      <c r="H35">
        <v>3118.08</v>
      </c>
      <c r="I35" t="s">
        <v>11</v>
      </c>
    </row>
    <row r="36" spans="1:9" x14ac:dyDescent="0.2">
      <c r="A36" t="s">
        <v>13</v>
      </c>
      <c r="B36" t="s">
        <v>10</v>
      </c>
      <c r="C36" s="3">
        <v>43675</v>
      </c>
      <c r="D36" s="3">
        <v>43675</v>
      </c>
      <c r="E36" s="3">
        <v>43705</v>
      </c>
      <c r="G36">
        <v>2200</v>
      </c>
      <c r="H36">
        <v>2552</v>
      </c>
      <c r="I36" t="s">
        <v>11</v>
      </c>
    </row>
    <row r="37" spans="1:9" x14ac:dyDescent="0.2">
      <c r="A37" t="s">
        <v>13</v>
      </c>
      <c r="B37" t="s">
        <v>10</v>
      </c>
      <c r="C37" s="3">
        <v>43675</v>
      </c>
      <c r="D37" s="3">
        <v>43675</v>
      </c>
      <c r="E37" s="3">
        <v>43705</v>
      </c>
      <c r="G37">
        <v>880</v>
      </c>
      <c r="H37">
        <v>1020.8</v>
      </c>
      <c r="I37" t="s">
        <v>11</v>
      </c>
    </row>
    <row r="38" spans="1:9" x14ac:dyDescent="0.2">
      <c r="A38" t="s">
        <v>15</v>
      </c>
      <c r="B38" t="s">
        <v>10</v>
      </c>
      <c r="C38" s="3">
        <v>43675</v>
      </c>
      <c r="D38" s="3">
        <v>43675</v>
      </c>
      <c r="E38" s="3">
        <v>43695</v>
      </c>
      <c r="G38">
        <v>55341</v>
      </c>
      <c r="H38">
        <v>64195.5</v>
      </c>
      <c r="I38" t="s">
        <v>11</v>
      </c>
    </row>
    <row r="39" spans="1:9" x14ac:dyDescent="0.2">
      <c r="A39" t="s">
        <v>18</v>
      </c>
      <c r="B39" t="s">
        <v>10</v>
      </c>
      <c r="C39" s="3">
        <v>43675</v>
      </c>
      <c r="D39" s="3">
        <v>43675</v>
      </c>
      <c r="E39" s="3">
        <v>43705</v>
      </c>
      <c r="G39">
        <v>34848</v>
      </c>
      <c r="H39">
        <v>40423.599999999999</v>
      </c>
      <c r="I39" t="s">
        <v>11</v>
      </c>
    </row>
    <row r="40" spans="1:9" x14ac:dyDescent="0.2">
      <c r="A40" t="s">
        <v>22</v>
      </c>
      <c r="B40" t="s">
        <v>10</v>
      </c>
      <c r="C40" s="3">
        <v>43675</v>
      </c>
      <c r="D40" s="3">
        <v>43675</v>
      </c>
      <c r="E40" s="3">
        <v>43705</v>
      </c>
      <c r="G40">
        <v>800</v>
      </c>
      <c r="H40">
        <v>928</v>
      </c>
      <c r="I40" t="s">
        <v>11</v>
      </c>
    </row>
    <row r="41" spans="1:9" x14ac:dyDescent="0.2">
      <c r="A41" t="s">
        <v>16</v>
      </c>
      <c r="B41" t="s">
        <v>10</v>
      </c>
      <c r="C41" s="3">
        <v>43671</v>
      </c>
      <c r="D41" s="3">
        <v>43671</v>
      </c>
      <c r="E41" s="3">
        <v>43686</v>
      </c>
      <c r="G41">
        <v>35535</v>
      </c>
      <c r="H41">
        <v>41220.6</v>
      </c>
      <c r="I41" t="s">
        <v>11</v>
      </c>
    </row>
    <row r="42" spans="1:9" x14ac:dyDescent="0.2">
      <c r="A42" t="s">
        <v>20</v>
      </c>
      <c r="B42" t="s">
        <v>10</v>
      </c>
      <c r="C42" s="3">
        <v>43668</v>
      </c>
      <c r="D42" s="3">
        <v>43668</v>
      </c>
      <c r="E42" s="3">
        <v>43713</v>
      </c>
      <c r="G42">
        <v>48170</v>
      </c>
      <c r="H42">
        <v>55877.2</v>
      </c>
      <c r="I42" t="s">
        <v>11</v>
      </c>
    </row>
    <row r="43" spans="1:9" x14ac:dyDescent="0.2">
      <c r="A43" t="s">
        <v>16</v>
      </c>
      <c r="B43" t="s">
        <v>10</v>
      </c>
      <c r="C43" s="3">
        <v>43668</v>
      </c>
      <c r="D43" s="3">
        <v>43668</v>
      </c>
      <c r="E43" s="3">
        <v>43683</v>
      </c>
      <c r="G43">
        <v>8500</v>
      </c>
      <c r="H43">
        <v>9860</v>
      </c>
      <c r="I43" t="s">
        <v>11</v>
      </c>
    </row>
    <row r="44" spans="1:9" x14ac:dyDescent="0.2">
      <c r="A44" t="s">
        <v>15</v>
      </c>
      <c r="B44" t="s">
        <v>10</v>
      </c>
      <c r="C44" s="3">
        <v>43668</v>
      </c>
      <c r="D44" s="3">
        <v>43668</v>
      </c>
      <c r="E44" s="3">
        <v>43688</v>
      </c>
      <c r="G44">
        <v>6669</v>
      </c>
      <c r="H44">
        <v>7736.04</v>
      </c>
      <c r="I44" t="s">
        <v>11</v>
      </c>
    </row>
    <row r="45" spans="1:9" x14ac:dyDescent="0.2">
      <c r="A45" t="s">
        <v>23</v>
      </c>
      <c r="B45" t="s">
        <v>10</v>
      </c>
      <c r="C45" s="3">
        <v>43668</v>
      </c>
      <c r="D45" s="3">
        <v>43668</v>
      </c>
      <c r="E45" s="3">
        <v>43728</v>
      </c>
      <c r="G45">
        <v>2500</v>
      </c>
      <c r="H45">
        <v>2900</v>
      </c>
      <c r="I45" t="s">
        <v>11</v>
      </c>
    </row>
    <row r="46" spans="1:9" x14ac:dyDescent="0.2">
      <c r="A46" t="s">
        <v>15</v>
      </c>
      <c r="B46" t="s">
        <v>10</v>
      </c>
      <c r="C46" s="3">
        <v>43665</v>
      </c>
      <c r="D46" s="3">
        <v>43665</v>
      </c>
      <c r="E46" s="3">
        <v>43685</v>
      </c>
      <c r="G46">
        <v>25400.1</v>
      </c>
      <c r="H46">
        <v>29464.1</v>
      </c>
      <c r="I46" t="s">
        <v>11</v>
      </c>
    </row>
    <row r="47" spans="1:9" x14ac:dyDescent="0.2">
      <c r="A47" t="s">
        <v>18</v>
      </c>
      <c r="B47" t="s">
        <v>10</v>
      </c>
      <c r="C47" s="3">
        <v>43664</v>
      </c>
      <c r="D47" s="3">
        <v>43664</v>
      </c>
      <c r="E47" s="3">
        <v>43694</v>
      </c>
      <c r="G47">
        <v>27884</v>
      </c>
      <c r="H47">
        <v>32345.4</v>
      </c>
      <c r="I47" t="s">
        <v>11</v>
      </c>
    </row>
    <row r="48" spans="1:9" x14ac:dyDescent="0.2">
      <c r="A48" t="s">
        <v>18</v>
      </c>
      <c r="B48" t="s">
        <v>10</v>
      </c>
      <c r="C48" s="3">
        <v>43664</v>
      </c>
      <c r="D48" s="3">
        <v>43664</v>
      </c>
      <c r="E48" s="3">
        <v>43694</v>
      </c>
      <c r="G48">
        <v>22431</v>
      </c>
      <c r="H48">
        <v>26019.9</v>
      </c>
      <c r="I48" t="s">
        <v>11</v>
      </c>
    </row>
    <row r="49" spans="1:9" x14ac:dyDescent="0.2">
      <c r="A49" t="s">
        <v>18</v>
      </c>
      <c r="B49" t="s">
        <v>10</v>
      </c>
      <c r="C49" s="3">
        <v>43664</v>
      </c>
      <c r="D49" s="3">
        <v>43664</v>
      </c>
      <c r="E49" s="3">
        <v>43694</v>
      </c>
      <c r="G49">
        <v>22003</v>
      </c>
      <c r="H49">
        <v>25523.4</v>
      </c>
      <c r="I49" t="s">
        <v>11</v>
      </c>
    </row>
    <row r="50" spans="1:9" x14ac:dyDescent="0.2">
      <c r="A50" t="s">
        <v>24</v>
      </c>
      <c r="B50" t="s">
        <v>10</v>
      </c>
      <c r="C50" s="3">
        <v>43663</v>
      </c>
      <c r="D50" s="3">
        <v>43663</v>
      </c>
      <c r="E50" s="3">
        <v>43663</v>
      </c>
      <c r="G50">
        <v>3297</v>
      </c>
      <c r="H50">
        <v>3824.52</v>
      </c>
      <c r="I50" t="s">
        <v>11</v>
      </c>
    </row>
    <row r="51" spans="1:9" x14ac:dyDescent="0.2">
      <c r="A51" t="s">
        <v>21</v>
      </c>
      <c r="B51" t="s">
        <v>10</v>
      </c>
      <c r="C51" s="3">
        <v>43663</v>
      </c>
      <c r="D51" s="3">
        <v>43663</v>
      </c>
      <c r="E51" s="3">
        <v>43670</v>
      </c>
      <c r="G51">
        <v>5520</v>
      </c>
      <c r="H51">
        <v>6403.2</v>
      </c>
      <c r="I51" t="s">
        <v>11</v>
      </c>
    </row>
    <row r="52" spans="1:9" x14ac:dyDescent="0.2">
      <c r="A52" t="s">
        <v>25</v>
      </c>
      <c r="B52" t="s">
        <v>10</v>
      </c>
      <c r="C52" s="3">
        <v>43663</v>
      </c>
      <c r="D52" s="3">
        <v>43663</v>
      </c>
      <c r="E52" s="3">
        <v>43693</v>
      </c>
      <c r="G52">
        <v>6124</v>
      </c>
      <c r="H52">
        <v>7103.84</v>
      </c>
      <c r="I52" t="s">
        <v>11</v>
      </c>
    </row>
    <row r="53" spans="1:9" x14ac:dyDescent="0.2">
      <c r="A53" t="s">
        <v>18</v>
      </c>
      <c r="B53" t="s">
        <v>10</v>
      </c>
      <c r="C53" s="3">
        <v>43662</v>
      </c>
      <c r="D53" s="3">
        <v>43662</v>
      </c>
      <c r="E53" s="3">
        <v>43692</v>
      </c>
      <c r="G53">
        <v>46904</v>
      </c>
      <c r="H53">
        <v>54408.6</v>
      </c>
      <c r="I53" t="s">
        <v>11</v>
      </c>
    </row>
    <row r="54" spans="1:9" x14ac:dyDescent="0.2">
      <c r="A54" t="s">
        <v>18</v>
      </c>
      <c r="B54" t="s">
        <v>10</v>
      </c>
      <c r="C54" s="3">
        <v>43662</v>
      </c>
      <c r="D54" s="3">
        <v>43662</v>
      </c>
      <c r="E54" s="3">
        <v>43692</v>
      </c>
      <c r="G54">
        <v>12399</v>
      </c>
      <c r="H54">
        <v>14382.8</v>
      </c>
      <c r="I54" t="s">
        <v>11</v>
      </c>
    </row>
    <row r="55" spans="1:9" x14ac:dyDescent="0.2">
      <c r="A55" t="s">
        <v>18</v>
      </c>
      <c r="B55" t="s">
        <v>10</v>
      </c>
      <c r="C55" s="3">
        <v>43662</v>
      </c>
      <c r="D55" s="3">
        <v>43662</v>
      </c>
      <c r="E55" s="3">
        <v>43692</v>
      </c>
      <c r="G55">
        <v>13034</v>
      </c>
      <c r="H55">
        <v>15119.4</v>
      </c>
      <c r="I55" t="s">
        <v>11</v>
      </c>
    </row>
    <row r="56" spans="1:9" x14ac:dyDescent="0.2">
      <c r="A56" t="s">
        <v>16</v>
      </c>
      <c r="B56" t="s">
        <v>10</v>
      </c>
      <c r="C56" s="3">
        <v>43662</v>
      </c>
      <c r="D56" s="3">
        <v>43662</v>
      </c>
      <c r="E56" s="3">
        <v>43677</v>
      </c>
      <c r="G56">
        <v>69554</v>
      </c>
      <c r="H56">
        <v>80682.600000000006</v>
      </c>
      <c r="I56" t="s">
        <v>11</v>
      </c>
    </row>
    <row r="57" spans="1:9" x14ac:dyDescent="0.2">
      <c r="A57" t="s">
        <v>26</v>
      </c>
      <c r="B57" t="s">
        <v>10</v>
      </c>
      <c r="C57" s="3">
        <v>43657</v>
      </c>
      <c r="D57" s="3">
        <v>43657</v>
      </c>
      <c r="E57" s="3">
        <v>43664</v>
      </c>
      <c r="G57">
        <v>6220</v>
      </c>
      <c r="H57">
        <v>7215.2</v>
      </c>
      <c r="I57" t="s">
        <v>11</v>
      </c>
    </row>
    <row r="58" spans="1:9" x14ac:dyDescent="0.2">
      <c r="A58" t="s">
        <v>27</v>
      </c>
      <c r="B58" t="s">
        <v>10</v>
      </c>
      <c r="C58" s="3">
        <v>43656</v>
      </c>
      <c r="D58" s="3">
        <v>43656</v>
      </c>
      <c r="E58" s="3">
        <v>43671</v>
      </c>
      <c r="G58">
        <v>14938.9</v>
      </c>
      <c r="H58">
        <v>17329.099999999999</v>
      </c>
      <c r="I58" t="s">
        <v>11</v>
      </c>
    </row>
    <row r="59" spans="1:9" x14ac:dyDescent="0.2">
      <c r="A59" t="s">
        <v>27</v>
      </c>
      <c r="B59" t="s">
        <v>10</v>
      </c>
      <c r="C59" s="3">
        <v>43656</v>
      </c>
      <c r="D59" s="3">
        <v>43656</v>
      </c>
      <c r="E59" s="3">
        <v>43671</v>
      </c>
      <c r="G59">
        <v>14938.9</v>
      </c>
      <c r="H59">
        <v>17329.099999999999</v>
      </c>
      <c r="I59" t="s">
        <v>11</v>
      </c>
    </row>
    <row r="60" spans="1:9" x14ac:dyDescent="0.2">
      <c r="A60" t="s">
        <v>18</v>
      </c>
      <c r="B60" t="s">
        <v>10</v>
      </c>
      <c r="C60" s="3">
        <v>43656</v>
      </c>
      <c r="D60" s="3">
        <v>43656</v>
      </c>
      <c r="E60" s="3">
        <v>43686</v>
      </c>
      <c r="G60">
        <v>8063</v>
      </c>
      <c r="H60">
        <v>9353.08</v>
      </c>
      <c r="I60" t="s">
        <v>11</v>
      </c>
    </row>
    <row r="61" spans="1:9" x14ac:dyDescent="0.2">
      <c r="A61" t="s">
        <v>20</v>
      </c>
      <c r="B61" t="s">
        <v>10</v>
      </c>
      <c r="C61" s="3">
        <v>43655</v>
      </c>
      <c r="D61" s="3">
        <v>43655</v>
      </c>
      <c r="E61" s="3">
        <v>43700</v>
      </c>
      <c r="G61">
        <v>34905</v>
      </c>
      <c r="H61">
        <v>40489.800000000003</v>
      </c>
      <c r="I61" t="s">
        <v>11</v>
      </c>
    </row>
    <row r="62" spans="1:9" x14ac:dyDescent="0.2">
      <c r="A62" t="s">
        <v>19</v>
      </c>
      <c r="B62" t="s">
        <v>10</v>
      </c>
      <c r="C62" s="3">
        <v>43655</v>
      </c>
      <c r="D62" s="3">
        <v>43622</v>
      </c>
      <c r="E62" s="3">
        <v>43670</v>
      </c>
      <c r="G62">
        <v>21840</v>
      </c>
      <c r="H62">
        <v>25334.400000000001</v>
      </c>
      <c r="I62" t="s">
        <v>11</v>
      </c>
    </row>
    <row r="63" spans="1:9" x14ac:dyDescent="0.2">
      <c r="A63" t="s">
        <v>19</v>
      </c>
      <c r="B63" t="s">
        <v>10</v>
      </c>
      <c r="C63" s="3">
        <v>43655</v>
      </c>
      <c r="D63" s="3">
        <v>43635</v>
      </c>
      <c r="E63" s="3">
        <v>43670</v>
      </c>
      <c r="G63">
        <v>47222</v>
      </c>
      <c r="H63">
        <v>54777.5</v>
      </c>
      <c r="I63" t="s">
        <v>11</v>
      </c>
    </row>
    <row r="64" spans="1:9" x14ac:dyDescent="0.2">
      <c r="A64" t="s">
        <v>19</v>
      </c>
      <c r="B64" t="s">
        <v>10</v>
      </c>
      <c r="C64" s="3">
        <v>43655</v>
      </c>
      <c r="D64" s="3">
        <v>43630</v>
      </c>
      <c r="E64" s="3">
        <v>43670</v>
      </c>
      <c r="G64">
        <v>35532</v>
      </c>
      <c r="H64">
        <v>41217.1</v>
      </c>
      <c r="I64" t="s">
        <v>11</v>
      </c>
    </row>
    <row r="65" spans="1:9" x14ac:dyDescent="0.2">
      <c r="A65" t="s">
        <v>19</v>
      </c>
      <c r="B65" t="s">
        <v>10</v>
      </c>
      <c r="C65" s="3">
        <v>43655</v>
      </c>
      <c r="D65" s="3">
        <v>43630</v>
      </c>
      <c r="E65" s="3">
        <v>43670</v>
      </c>
      <c r="G65">
        <v>44941</v>
      </c>
      <c r="H65">
        <v>52131.5</v>
      </c>
      <c r="I65" t="s">
        <v>11</v>
      </c>
    </row>
    <row r="66" spans="1:9" x14ac:dyDescent="0.2">
      <c r="A66" t="s">
        <v>19</v>
      </c>
      <c r="B66" t="s">
        <v>10</v>
      </c>
      <c r="C66" s="3">
        <v>43655</v>
      </c>
      <c r="D66" s="3">
        <v>43642</v>
      </c>
      <c r="E66" s="3">
        <v>43670</v>
      </c>
      <c r="G66">
        <v>39610</v>
      </c>
      <c r="H66">
        <v>45947.6</v>
      </c>
      <c r="I66" t="s">
        <v>11</v>
      </c>
    </row>
    <row r="67" spans="1:9" x14ac:dyDescent="0.2">
      <c r="A67" t="s">
        <v>19</v>
      </c>
      <c r="B67" t="s">
        <v>10</v>
      </c>
      <c r="C67" s="3">
        <v>43655</v>
      </c>
      <c r="D67" s="3">
        <v>43620</v>
      </c>
      <c r="E67" s="3">
        <v>43670</v>
      </c>
      <c r="G67">
        <v>45277</v>
      </c>
      <c r="H67">
        <v>52521.3</v>
      </c>
      <c r="I67" t="s">
        <v>11</v>
      </c>
    </row>
    <row r="68" spans="1:9" x14ac:dyDescent="0.2">
      <c r="A68" t="s">
        <v>19</v>
      </c>
      <c r="B68" t="s">
        <v>10</v>
      </c>
      <c r="C68" s="3">
        <v>43655</v>
      </c>
      <c r="D68" s="3">
        <v>43642</v>
      </c>
      <c r="E68" s="3">
        <v>43670</v>
      </c>
      <c r="G68">
        <v>46174</v>
      </c>
      <c r="H68">
        <v>53561.8</v>
      </c>
      <c r="I68" t="s">
        <v>11</v>
      </c>
    </row>
    <row r="69" spans="1:9" x14ac:dyDescent="0.2">
      <c r="A69" t="s">
        <v>19</v>
      </c>
      <c r="B69" t="s">
        <v>14</v>
      </c>
      <c r="C69" s="3">
        <v>43655</v>
      </c>
      <c r="D69" s="3">
        <v>43642</v>
      </c>
      <c r="E69" s="3">
        <v>43670</v>
      </c>
      <c r="F69" s="3">
        <v>43655</v>
      </c>
      <c r="G69">
        <v>46174</v>
      </c>
      <c r="H69">
        <v>53561.8</v>
      </c>
      <c r="I69" t="s">
        <v>11</v>
      </c>
    </row>
    <row r="70" spans="1:9" x14ac:dyDescent="0.2">
      <c r="A70" t="s">
        <v>19</v>
      </c>
      <c r="B70" t="s">
        <v>10</v>
      </c>
      <c r="C70" s="3">
        <v>43655</v>
      </c>
      <c r="D70" s="3">
        <v>43640</v>
      </c>
      <c r="E70" s="3">
        <v>43670</v>
      </c>
      <c r="G70">
        <v>44896</v>
      </c>
      <c r="H70">
        <v>52079.3</v>
      </c>
      <c r="I70" t="s">
        <v>11</v>
      </c>
    </row>
    <row r="71" spans="1:9" x14ac:dyDescent="0.2">
      <c r="A71" t="s">
        <v>19</v>
      </c>
      <c r="B71" t="s">
        <v>14</v>
      </c>
      <c r="C71" s="3">
        <v>43655</v>
      </c>
      <c r="D71" s="3">
        <v>43640</v>
      </c>
      <c r="E71" s="3">
        <v>43670</v>
      </c>
      <c r="F71" s="3">
        <v>43655</v>
      </c>
      <c r="G71">
        <v>44896</v>
      </c>
      <c r="H71">
        <v>52079.3</v>
      </c>
      <c r="I71" t="s">
        <v>11</v>
      </c>
    </row>
    <row r="72" spans="1:9" x14ac:dyDescent="0.2">
      <c r="A72" t="s">
        <v>19</v>
      </c>
      <c r="B72" t="s">
        <v>10</v>
      </c>
      <c r="C72" s="3">
        <v>43655</v>
      </c>
      <c r="D72" s="3">
        <v>43627</v>
      </c>
      <c r="E72" s="3">
        <v>43670</v>
      </c>
      <c r="G72">
        <v>45974</v>
      </c>
      <c r="H72">
        <v>53329.8</v>
      </c>
      <c r="I72" t="s">
        <v>11</v>
      </c>
    </row>
    <row r="73" spans="1:9" x14ac:dyDescent="0.2">
      <c r="A73" t="s">
        <v>19</v>
      </c>
      <c r="B73" t="s">
        <v>10</v>
      </c>
      <c r="C73" s="3">
        <v>43655</v>
      </c>
      <c r="D73" s="3">
        <v>43641</v>
      </c>
      <c r="E73" s="3">
        <v>43670</v>
      </c>
      <c r="G73">
        <v>46255</v>
      </c>
      <c r="H73">
        <v>53655.8</v>
      </c>
      <c r="I73" t="s">
        <v>11</v>
      </c>
    </row>
    <row r="74" spans="1:9" x14ac:dyDescent="0.2">
      <c r="A74" t="s">
        <v>19</v>
      </c>
      <c r="B74" t="s">
        <v>10</v>
      </c>
      <c r="C74" s="3">
        <v>43655</v>
      </c>
      <c r="D74" s="3">
        <v>43634</v>
      </c>
      <c r="E74" s="3">
        <v>43670</v>
      </c>
      <c r="G74">
        <v>37338</v>
      </c>
      <c r="H74">
        <v>43312</v>
      </c>
      <c r="I74" t="s">
        <v>11</v>
      </c>
    </row>
    <row r="75" spans="1:9" x14ac:dyDescent="0.2">
      <c r="A75" t="s">
        <v>19</v>
      </c>
      <c r="B75" t="s">
        <v>10</v>
      </c>
      <c r="C75" s="3">
        <v>43655</v>
      </c>
      <c r="D75" s="3">
        <v>43628</v>
      </c>
      <c r="E75" s="3">
        <v>43670</v>
      </c>
      <c r="G75">
        <v>44813</v>
      </c>
      <c r="H75">
        <v>51983</v>
      </c>
      <c r="I75" t="s">
        <v>11</v>
      </c>
    </row>
    <row r="76" spans="1:9" x14ac:dyDescent="0.2">
      <c r="A76" t="s">
        <v>19</v>
      </c>
      <c r="B76" t="s">
        <v>10</v>
      </c>
      <c r="C76" s="3">
        <v>43655</v>
      </c>
      <c r="D76" s="3">
        <v>43628</v>
      </c>
      <c r="E76" s="3">
        <v>43670</v>
      </c>
      <c r="G76">
        <v>39899</v>
      </c>
      <c r="H76">
        <v>46282.8</v>
      </c>
      <c r="I76" t="s">
        <v>11</v>
      </c>
    </row>
    <row r="77" spans="1:9" x14ac:dyDescent="0.2">
      <c r="A77" t="s">
        <v>19</v>
      </c>
      <c r="B77" t="s">
        <v>10</v>
      </c>
      <c r="C77" s="3">
        <v>43650</v>
      </c>
      <c r="D77" s="3">
        <v>43650</v>
      </c>
      <c r="E77" s="3">
        <v>43665</v>
      </c>
      <c r="G77">
        <v>7000</v>
      </c>
      <c r="H77">
        <v>8120</v>
      </c>
      <c r="I77" t="s">
        <v>11</v>
      </c>
    </row>
    <row r="78" spans="1:9" x14ac:dyDescent="0.2">
      <c r="A78" t="s">
        <v>19</v>
      </c>
      <c r="B78" t="s">
        <v>10</v>
      </c>
      <c r="C78" s="3">
        <v>43650</v>
      </c>
      <c r="D78" s="3">
        <v>43650</v>
      </c>
      <c r="E78" s="3">
        <v>43665</v>
      </c>
      <c r="G78">
        <v>5000</v>
      </c>
      <c r="H78">
        <v>5800</v>
      </c>
      <c r="I78" t="s">
        <v>11</v>
      </c>
    </row>
    <row r="79" spans="1:9" x14ac:dyDescent="0.2">
      <c r="A79" t="s">
        <v>19</v>
      </c>
      <c r="B79" t="s">
        <v>10</v>
      </c>
      <c r="C79" s="3">
        <v>43650</v>
      </c>
      <c r="D79" s="3">
        <v>43650</v>
      </c>
      <c r="E79" s="3">
        <v>43665</v>
      </c>
      <c r="G79">
        <v>5000</v>
      </c>
      <c r="H79">
        <v>5800</v>
      </c>
      <c r="I79" t="s">
        <v>11</v>
      </c>
    </row>
    <row r="80" spans="1:9" x14ac:dyDescent="0.2">
      <c r="A80" t="s">
        <v>16</v>
      </c>
      <c r="B80" t="s">
        <v>10</v>
      </c>
      <c r="C80" s="3">
        <v>43650</v>
      </c>
      <c r="D80" s="3">
        <v>43650</v>
      </c>
      <c r="E80" s="3">
        <v>43665</v>
      </c>
      <c r="G80">
        <v>5500</v>
      </c>
      <c r="H80">
        <v>6380</v>
      </c>
      <c r="I80" t="s">
        <v>11</v>
      </c>
    </row>
    <row r="81" spans="1:9" x14ac:dyDescent="0.2">
      <c r="A81" t="s">
        <v>21</v>
      </c>
      <c r="B81" t="s">
        <v>10</v>
      </c>
      <c r="C81" s="3">
        <v>43649</v>
      </c>
      <c r="D81" s="3">
        <v>43649</v>
      </c>
      <c r="E81" s="3">
        <v>43656</v>
      </c>
      <c r="G81">
        <v>19300</v>
      </c>
      <c r="H81">
        <v>22388</v>
      </c>
      <c r="I81" t="s">
        <v>11</v>
      </c>
    </row>
    <row r="82" spans="1:9" x14ac:dyDescent="0.2">
      <c r="A82" t="s">
        <v>18</v>
      </c>
      <c r="B82" t="s">
        <v>10</v>
      </c>
      <c r="C82" s="3">
        <v>43648</v>
      </c>
      <c r="D82" s="3">
        <v>43648</v>
      </c>
      <c r="E82" s="3">
        <v>43678</v>
      </c>
      <c r="G82">
        <v>24980</v>
      </c>
      <c r="H82">
        <v>28976.799999999999</v>
      </c>
      <c r="I82" t="s">
        <v>11</v>
      </c>
    </row>
    <row r="83" spans="1:9" x14ac:dyDescent="0.2">
      <c r="A83" t="s">
        <v>15</v>
      </c>
      <c r="B83" t="s">
        <v>10</v>
      </c>
      <c r="C83" s="3">
        <v>43647</v>
      </c>
      <c r="D83" s="3">
        <v>43647</v>
      </c>
      <c r="E83" s="3">
        <v>43667</v>
      </c>
      <c r="G83">
        <v>5265</v>
      </c>
      <c r="H83">
        <v>6107.4</v>
      </c>
      <c r="I83" t="s">
        <v>11</v>
      </c>
    </row>
    <row r="84" spans="1:9" x14ac:dyDescent="0.2">
      <c r="A84" t="s">
        <v>19</v>
      </c>
      <c r="B84" t="s">
        <v>10</v>
      </c>
      <c r="C84" s="3">
        <v>43647</v>
      </c>
      <c r="D84" s="3">
        <v>43642</v>
      </c>
      <c r="E84" s="3">
        <v>43662</v>
      </c>
      <c r="G84">
        <v>6954</v>
      </c>
      <c r="H84">
        <v>8066.64</v>
      </c>
      <c r="I84" t="s">
        <v>11</v>
      </c>
    </row>
    <row r="85" spans="1:9" x14ac:dyDescent="0.2">
      <c r="A85" t="s">
        <v>18</v>
      </c>
      <c r="B85" t="s">
        <v>10</v>
      </c>
      <c r="C85" s="3">
        <v>43644</v>
      </c>
      <c r="D85" s="3">
        <v>43644</v>
      </c>
      <c r="E85" s="3">
        <v>43674</v>
      </c>
      <c r="G85">
        <v>11280</v>
      </c>
      <c r="H85">
        <v>13084.8</v>
      </c>
      <c r="I85" t="s">
        <v>11</v>
      </c>
    </row>
    <row r="86" spans="1:9" x14ac:dyDescent="0.2">
      <c r="A86" t="s">
        <v>18</v>
      </c>
      <c r="B86" t="s">
        <v>10</v>
      </c>
      <c r="C86" s="3">
        <v>43644</v>
      </c>
      <c r="D86" s="3">
        <v>43642</v>
      </c>
      <c r="E86" s="3">
        <v>43674</v>
      </c>
      <c r="G86">
        <v>46350</v>
      </c>
      <c r="H86">
        <v>53766</v>
      </c>
      <c r="I86" t="s">
        <v>11</v>
      </c>
    </row>
    <row r="87" spans="1:9" x14ac:dyDescent="0.2">
      <c r="A87" t="s">
        <v>20</v>
      </c>
      <c r="B87" t="s">
        <v>10</v>
      </c>
      <c r="C87" s="3">
        <v>43643</v>
      </c>
      <c r="D87" s="3">
        <v>43643</v>
      </c>
      <c r="E87" s="3">
        <v>43688</v>
      </c>
      <c r="G87">
        <v>28597</v>
      </c>
      <c r="H87">
        <v>33172.5</v>
      </c>
      <c r="I87" t="s">
        <v>11</v>
      </c>
    </row>
    <row r="88" spans="1:9" x14ac:dyDescent="0.2">
      <c r="A88" t="s">
        <v>15</v>
      </c>
      <c r="B88" t="s">
        <v>10</v>
      </c>
      <c r="C88" s="3">
        <v>43642</v>
      </c>
      <c r="D88" s="3">
        <v>43642</v>
      </c>
      <c r="E88" s="3">
        <v>43662</v>
      </c>
      <c r="G88">
        <v>3242.4</v>
      </c>
      <c r="H88">
        <v>3761.18</v>
      </c>
      <c r="I88" t="s">
        <v>11</v>
      </c>
    </row>
    <row r="89" spans="1:9" x14ac:dyDescent="0.2">
      <c r="A89" t="s">
        <v>18</v>
      </c>
      <c r="B89" t="s">
        <v>10</v>
      </c>
      <c r="C89" s="3">
        <v>43642</v>
      </c>
      <c r="D89" s="3">
        <v>43642</v>
      </c>
      <c r="E89" s="3">
        <v>43672</v>
      </c>
      <c r="G89">
        <v>14124</v>
      </c>
      <c r="H89">
        <v>16383.8</v>
      </c>
      <c r="I89" t="s">
        <v>11</v>
      </c>
    </row>
    <row r="90" spans="1:9" x14ac:dyDescent="0.2">
      <c r="A90" t="s">
        <v>18</v>
      </c>
      <c r="B90" t="s">
        <v>10</v>
      </c>
      <c r="C90" s="3">
        <v>43642</v>
      </c>
      <c r="D90" s="3">
        <v>43642</v>
      </c>
      <c r="E90" s="3">
        <v>43672</v>
      </c>
      <c r="G90">
        <v>25046</v>
      </c>
      <c r="H90">
        <v>29053.3</v>
      </c>
      <c r="I90" t="s">
        <v>11</v>
      </c>
    </row>
    <row r="91" spans="1:9" x14ac:dyDescent="0.2">
      <c r="A91" t="s">
        <v>18</v>
      </c>
      <c r="B91" t="s">
        <v>10</v>
      </c>
      <c r="C91" s="3">
        <v>43642</v>
      </c>
      <c r="D91" s="3">
        <v>43642</v>
      </c>
      <c r="E91" s="3">
        <v>43672</v>
      </c>
      <c r="G91">
        <v>25046</v>
      </c>
      <c r="H91">
        <v>29053.3</v>
      </c>
      <c r="I91" t="s">
        <v>11</v>
      </c>
    </row>
    <row r="92" spans="1:9" x14ac:dyDescent="0.2">
      <c r="A92" t="s">
        <v>12</v>
      </c>
      <c r="B92" t="s">
        <v>10</v>
      </c>
      <c r="C92" s="3">
        <v>43641</v>
      </c>
      <c r="D92" s="3">
        <v>43641</v>
      </c>
      <c r="E92" s="3">
        <v>43671</v>
      </c>
      <c r="G92">
        <v>102567</v>
      </c>
      <c r="H92">
        <v>102567</v>
      </c>
      <c r="I92" t="s">
        <v>11</v>
      </c>
    </row>
    <row r="93" spans="1:9" x14ac:dyDescent="0.2">
      <c r="A93" t="s">
        <v>15</v>
      </c>
      <c r="B93" t="s">
        <v>10</v>
      </c>
      <c r="C93" s="3">
        <v>43641</v>
      </c>
      <c r="D93" s="3">
        <v>43641</v>
      </c>
      <c r="E93" s="3">
        <v>43661</v>
      </c>
      <c r="G93">
        <v>5500.5</v>
      </c>
      <c r="H93">
        <v>6380.58</v>
      </c>
      <c r="I93" t="s">
        <v>11</v>
      </c>
    </row>
    <row r="94" spans="1:9" x14ac:dyDescent="0.2">
      <c r="A94" t="s">
        <v>16</v>
      </c>
      <c r="B94" t="s">
        <v>10</v>
      </c>
      <c r="C94" s="3">
        <v>43641</v>
      </c>
      <c r="D94" s="3">
        <v>43641</v>
      </c>
      <c r="E94" s="3">
        <v>43656</v>
      </c>
      <c r="G94">
        <v>64460</v>
      </c>
      <c r="H94">
        <v>74773.600000000006</v>
      </c>
      <c r="I94" t="s">
        <v>11</v>
      </c>
    </row>
    <row r="95" spans="1:9" x14ac:dyDescent="0.2">
      <c r="A95" t="s">
        <v>17</v>
      </c>
      <c r="B95" t="s">
        <v>10</v>
      </c>
      <c r="C95" s="3">
        <v>43641</v>
      </c>
      <c r="D95" s="3">
        <v>43640</v>
      </c>
      <c r="E95" s="3">
        <v>43686</v>
      </c>
      <c r="G95">
        <v>31069</v>
      </c>
      <c r="H95">
        <v>36040</v>
      </c>
      <c r="I95" t="s">
        <v>11</v>
      </c>
    </row>
    <row r="96" spans="1:9" x14ac:dyDescent="0.2">
      <c r="A96" t="s">
        <v>18</v>
      </c>
      <c r="B96" t="s">
        <v>10</v>
      </c>
      <c r="C96" s="3">
        <v>43640</v>
      </c>
      <c r="D96" s="3">
        <v>43640</v>
      </c>
      <c r="E96" s="3">
        <v>43670</v>
      </c>
      <c r="G96">
        <v>18188</v>
      </c>
      <c r="H96">
        <v>21098</v>
      </c>
      <c r="I96" t="s">
        <v>11</v>
      </c>
    </row>
    <row r="97" spans="1:9" x14ac:dyDescent="0.2">
      <c r="A97" t="s">
        <v>28</v>
      </c>
      <c r="B97" t="s">
        <v>10</v>
      </c>
      <c r="C97" s="3">
        <v>43640</v>
      </c>
      <c r="D97" s="3">
        <v>43640</v>
      </c>
      <c r="E97" s="3">
        <v>43655</v>
      </c>
      <c r="G97">
        <v>550</v>
      </c>
      <c r="H97">
        <v>638</v>
      </c>
      <c r="I97" t="s">
        <v>11</v>
      </c>
    </row>
    <row r="98" spans="1:9" x14ac:dyDescent="0.2">
      <c r="A98" t="s">
        <v>17</v>
      </c>
      <c r="B98" t="s">
        <v>14</v>
      </c>
      <c r="C98" s="3">
        <v>43640</v>
      </c>
      <c r="D98" s="3">
        <v>43640</v>
      </c>
      <c r="E98" s="3">
        <v>43685</v>
      </c>
      <c r="F98" s="3">
        <v>43641</v>
      </c>
      <c r="G98">
        <v>31069</v>
      </c>
      <c r="H98">
        <v>36040</v>
      </c>
      <c r="I98" t="s">
        <v>11</v>
      </c>
    </row>
    <row r="99" spans="1:9" x14ac:dyDescent="0.2">
      <c r="A99" t="s">
        <v>15</v>
      </c>
      <c r="B99" t="s">
        <v>10</v>
      </c>
      <c r="C99" s="3">
        <v>43640</v>
      </c>
      <c r="D99" s="3">
        <v>43640</v>
      </c>
      <c r="E99" s="3">
        <v>43660</v>
      </c>
      <c r="G99">
        <v>6484.8</v>
      </c>
      <c r="H99">
        <v>7522.37</v>
      </c>
      <c r="I99" t="s">
        <v>11</v>
      </c>
    </row>
    <row r="100" spans="1:9" x14ac:dyDescent="0.2">
      <c r="A100" t="s">
        <v>9</v>
      </c>
      <c r="B100" t="s">
        <v>10</v>
      </c>
      <c r="C100" s="3">
        <v>43637</v>
      </c>
      <c r="D100" s="3">
        <v>43637</v>
      </c>
      <c r="E100" s="3">
        <v>43644</v>
      </c>
      <c r="G100">
        <v>8808</v>
      </c>
      <c r="H100">
        <v>10217.200000000001</v>
      </c>
      <c r="I100" t="s">
        <v>11</v>
      </c>
    </row>
    <row r="101" spans="1:9" x14ac:dyDescent="0.2">
      <c r="A101" t="s">
        <v>22</v>
      </c>
      <c r="B101" t="s">
        <v>10</v>
      </c>
      <c r="C101" s="3">
        <v>43637</v>
      </c>
      <c r="D101" s="3">
        <v>43637</v>
      </c>
      <c r="E101" s="3">
        <v>43667</v>
      </c>
      <c r="G101">
        <v>43730.400000000001</v>
      </c>
      <c r="H101">
        <v>50727.199999999997</v>
      </c>
      <c r="I101" t="s">
        <v>11</v>
      </c>
    </row>
    <row r="102" spans="1:9" x14ac:dyDescent="0.2">
      <c r="A102" t="s">
        <v>18</v>
      </c>
      <c r="B102" t="s">
        <v>29</v>
      </c>
      <c r="C102" s="3">
        <v>43636</v>
      </c>
      <c r="D102" s="3">
        <v>43558</v>
      </c>
      <c r="E102" s="3">
        <v>43666</v>
      </c>
      <c r="G102">
        <v>27884</v>
      </c>
      <c r="H102">
        <v>32345.4</v>
      </c>
      <c r="I102" t="s">
        <v>11</v>
      </c>
    </row>
    <row r="103" spans="1:9" x14ac:dyDescent="0.2">
      <c r="A103" t="s">
        <v>15</v>
      </c>
      <c r="B103" t="s">
        <v>10</v>
      </c>
      <c r="C103" s="3">
        <v>43635</v>
      </c>
      <c r="D103" s="3">
        <v>43635</v>
      </c>
      <c r="E103" s="3">
        <v>43655</v>
      </c>
      <c r="G103">
        <v>7063.8</v>
      </c>
      <c r="H103">
        <v>8194.01</v>
      </c>
      <c r="I103" t="s">
        <v>11</v>
      </c>
    </row>
    <row r="104" spans="1:9" x14ac:dyDescent="0.2">
      <c r="A104" t="s">
        <v>18</v>
      </c>
      <c r="B104" t="s">
        <v>29</v>
      </c>
      <c r="C104" s="3">
        <v>43635</v>
      </c>
      <c r="D104" s="3">
        <v>43600</v>
      </c>
      <c r="E104" s="3">
        <v>43665</v>
      </c>
      <c r="G104">
        <v>22431</v>
      </c>
      <c r="H104">
        <v>26019.9</v>
      </c>
      <c r="I104" t="s">
        <v>11</v>
      </c>
    </row>
    <row r="105" spans="1:9" x14ac:dyDescent="0.2">
      <c r="A105" t="s">
        <v>18</v>
      </c>
      <c r="B105" t="s">
        <v>29</v>
      </c>
      <c r="C105" s="3">
        <v>43635</v>
      </c>
      <c r="D105" s="3">
        <v>43599</v>
      </c>
      <c r="E105" s="3">
        <v>43665</v>
      </c>
      <c r="G105">
        <v>22003</v>
      </c>
      <c r="H105">
        <v>25523.4</v>
      </c>
      <c r="I105" t="s">
        <v>11</v>
      </c>
    </row>
    <row r="106" spans="1:9" x14ac:dyDescent="0.2">
      <c r="A106" t="s">
        <v>22</v>
      </c>
      <c r="B106" t="s">
        <v>10</v>
      </c>
      <c r="C106" s="3">
        <v>43634</v>
      </c>
      <c r="D106" s="3">
        <v>43634</v>
      </c>
      <c r="E106" s="3">
        <v>43664</v>
      </c>
      <c r="G106">
        <v>54194.5</v>
      </c>
      <c r="H106">
        <v>62865.599999999999</v>
      </c>
      <c r="I106" t="s">
        <v>11</v>
      </c>
    </row>
    <row r="107" spans="1:9" x14ac:dyDescent="0.2">
      <c r="A107" t="s">
        <v>22</v>
      </c>
      <c r="B107" t="s">
        <v>10</v>
      </c>
      <c r="C107" s="3">
        <v>43634</v>
      </c>
      <c r="D107" s="3">
        <v>43634</v>
      </c>
      <c r="E107" s="3">
        <v>43664</v>
      </c>
      <c r="G107">
        <v>1480</v>
      </c>
      <c r="H107">
        <v>1716.8</v>
      </c>
      <c r="I107" t="s">
        <v>11</v>
      </c>
    </row>
    <row r="108" spans="1:9" x14ac:dyDescent="0.2">
      <c r="A108" t="s">
        <v>15</v>
      </c>
      <c r="B108" t="s">
        <v>10</v>
      </c>
      <c r="C108" s="3">
        <v>43634</v>
      </c>
      <c r="D108" s="3">
        <v>43634</v>
      </c>
      <c r="E108" s="3">
        <v>43654</v>
      </c>
      <c r="G108">
        <v>2721.3</v>
      </c>
      <c r="H108">
        <v>3156.71</v>
      </c>
      <c r="I108" t="s">
        <v>11</v>
      </c>
    </row>
    <row r="109" spans="1:9" x14ac:dyDescent="0.2">
      <c r="A109" t="s">
        <v>15</v>
      </c>
      <c r="B109" t="s">
        <v>10</v>
      </c>
      <c r="C109" s="3">
        <v>43634</v>
      </c>
      <c r="D109" s="3">
        <v>43634</v>
      </c>
      <c r="E109" s="3">
        <v>43654</v>
      </c>
      <c r="G109">
        <v>13645.1</v>
      </c>
      <c r="H109">
        <v>15828.3</v>
      </c>
      <c r="I109" t="s">
        <v>11</v>
      </c>
    </row>
    <row r="110" spans="1:9" x14ac:dyDescent="0.2">
      <c r="A110" t="s">
        <v>15</v>
      </c>
      <c r="B110" t="s">
        <v>10</v>
      </c>
      <c r="C110" s="3">
        <v>43634</v>
      </c>
      <c r="D110" s="3">
        <v>43634</v>
      </c>
      <c r="E110" s="3">
        <v>43654</v>
      </c>
      <c r="G110">
        <v>70445</v>
      </c>
      <c r="H110">
        <v>81716.2</v>
      </c>
      <c r="I110" t="s">
        <v>11</v>
      </c>
    </row>
    <row r="111" spans="1:9" x14ac:dyDescent="0.2">
      <c r="A111" t="s">
        <v>15</v>
      </c>
      <c r="B111" t="s">
        <v>10</v>
      </c>
      <c r="C111" s="3">
        <v>43634</v>
      </c>
      <c r="D111" s="3">
        <v>43634</v>
      </c>
      <c r="E111" s="3">
        <v>43654</v>
      </c>
      <c r="G111">
        <v>45914.7</v>
      </c>
      <c r="H111">
        <v>53261</v>
      </c>
      <c r="I111" t="s">
        <v>11</v>
      </c>
    </row>
    <row r="112" spans="1:9" x14ac:dyDescent="0.2">
      <c r="A112" t="s">
        <v>15</v>
      </c>
      <c r="B112" t="s">
        <v>14</v>
      </c>
      <c r="C112" s="3">
        <v>43633</v>
      </c>
      <c r="D112" s="3">
        <v>43633</v>
      </c>
      <c r="E112" s="3">
        <v>43653</v>
      </c>
      <c r="F112" s="3">
        <v>43634</v>
      </c>
      <c r="G112">
        <v>45581.599999999999</v>
      </c>
      <c r="H112">
        <v>52870.9</v>
      </c>
      <c r="I112" t="s">
        <v>11</v>
      </c>
    </row>
    <row r="113" spans="1:9" x14ac:dyDescent="0.2">
      <c r="A113" t="s">
        <v>15</v>
      </c>
      <c r="B113" t="s">
        <v>14</v>
      </c>
      <c r="C113" s="3">
        <v>43633</v>
      </c>
      <c r="D113" s="3">
        <v>43633</v>
      </c>
      <c r="E113" s="3">
        <v>43653</v>
      </c>
      <c r="F113" s="3">
        <v>43634</v>
      </c>
      <c r="G113">
        <v>69934</v>
      </c>
      <c r="H113">
        <v>81117.600000000006</v>
      </c>
      <c r="I113" t="s">
        <v>11</v>
      </c>
    </row>
    <row r="114" spans="1:9" x14ac:dyDescent="0.2">
      <c r="A114" t="s">
        <v>15</v>
      </c>
      <c r="B114" t="s">
        <v>14</v>
      </c>
      <c r="C114" s="3">
        <v>43633</v>
      </c>
      <c r="D114" s="3">
        <v>43633</v>
      </c>
      <c r="E114" s="3">
        <v>43653</v>
      </c>
      <c r="F114" s="3">
        <v>43634</v>
      </c>
      <c r="G114">
        <v>13546.1</v>
      </c>
      <c r="H114">
        <v>15712.3</v>
      </c>
      <c r="I114" t="s">
        <v>11</v>
      </c>
    </row>
    <row r="115" spans="1:9" x14ac:dyDescent="0.2">
      <c r="A115" t="s">
        <v>30</v>
      </c>
      <c r="B115" t="s">
        <v>10</v>
      </c>
      <c r="C115" s="3">
        <v>43630</v>
      </c>
      <c r="D115" s="3">
        <v>43630</v>
      </c>
      <c r="E115" s="3">
        <v>43645</v>
      </c>
      <c r="G115">
        <v>660</v>
      </c>
      <c r="H115">
        <v>765.6</v>
      </c>
      <c r="I115" t="s">
        <v>11</v>
      </c>
    </row>
    <row r="116" spans="1:9" x14ac:dyDescent="0.2">
      <c r="A116" t="s">
        <v>16</v>
      </c>
      <c r="B116" t="s">
        <v>10</v>
      </c>
      <c r="C116" s="3">
        <v>43629</v>
      </c>
      <c r="D116" s="3">
        <v>43629</v>
      </c>
      <c r="E116" s="3">
        <v>43644</v>
      </c>
      <c r="G116">
        <v>18110</v>
      </c>
      <c r="H116">
        <v>21007.599999999999</v>
      </c>
      <c r="I116" t="s">
        <v>11</v>
      </c>
    </row>
    <row r="117" spans="1:9" x14ac:dyDescent="0.2">
      <c r="A117" t="s">
        <v>19</v>
      </c>
      <c r="B117" t="s">
        <v>10</v>
      </c>
      <c r="C117" s="3">
        <v>43629</v>
      </c>
      <c r="D117" s="3">
        <v>43629</v>
      </c>
      <c r="E117" s="3">
        <v>43644</v>
      </c>
      <c r="G117">
        <v>6116</v>
      </c>
      <c r="H117">
        <v>7094.56</v>
      </c>
      <c r="I117" t="s">
        <v>11</v>
      </c>
    </row>
    <row r="118" spans="1:9" x14ac:dyDescent="0.2">
      <c r="A118" t="s">
        <v>31</v>
      </c>
      <c r="B118" t="s">
        <v>10</v>
      </c>
      <c r="C118" s="3">
        <v>43628</v>
      </c>
      <c r="D118" s="3">
        <v>43628</v>
      </c>
      <c r="E118" s="3">
        <v>43658</v>
      </c>
      <c r="G118">
        <v>36261.1</v>
      </c>
      <c r="H118">
        <v>42062.9</v>
      </c>
      <c r="I118" t="s">
        <v>11</v>
      </c>
    </row>
    <row r="119" spans="1:9" x14ac:dyDescent="0.2">
      <c r="A119" t="s">
        <v>30</v>
      </c>
      <c r="B119" t="s">
        <v>14</v>
      </c>
      <c r="C119" s="3">
        <v>43628</v>
      </c>
      <c r="D119" s="3">
        <v>43628</v>
      </c>
      <c r="E119" s="3">
        <v>43643</v>
      </c>
      <c r="F119" s="3">
        <v>43630</v>
      </c>
      <c r="G119">
        <v>660</v>
      </c>
      <c r="H119">
        <v>765.6</v>
      </c>
      <c r="I119" t="s">
        <v>11</v>
      </c>
    </row>
    <row r="120" spans="1:9" x14ac:dyDescent="0.2">
      <c r="A120" t="s">
        <v>30</v>
      </c>
      <c r="B120" t="s">
        <v>14</v>
      </c>
      <c r="C120" s="3">
        <v>43628</v>
      </c>
      <c r="D120" s="3">
        <v>43628</v>
      </c>
      <c r="E120" s="3">
        <v>43643</v>
      </c>
      <c r="F120" s="3">
        <v>43628</v>
      </c>
      <c r="G120">
        <v>660</v>
      </c>
      <c r="H120">
        <v>765.6</v>
      </c>
      <c r="I120" t="s">
        <v>11</v>
      </c>
    </row>
    <row r="121" spans="1:9" x14ac:dyDescent="0.2">
      <c r="A121" t="s">
        <v>30</v>
      </c>
      <c r="B121" t="s">
        <v>10</v>
      </c>
      <c r="C121" s="3">
        <v>43627</v>
      </c>
      <c r="D121" s="3">
        <v>43627</v>
      </c>
      <c r="E121" s="3">
        <v>43642</v>
      </c>
      <c r="G121">
        <v>1900</v>
      </c>
      <c r="H121">
        <v>2204</v>
      </c>
      <c r="I121" t="s">
        <v>11</v>
      </c>
    </row>
    <row r="122" spans="1:9" x14ac:dyDescent="0.2">
      <c r="A122" t="s">
        <v>16</v>
      </c>
      <c r="B122" t="s">
        <v>10</v>
      </c>
      <c r="C122" s="3">
        <v>43626</v>
      </c>
      <c r="D122" s="3">
        <v>43626</v>
      </c>
      <c r="E122" s="3">
        <v>43641</v>
      </c>
      <c r="G122">
        <v>490</v>
      </c>
      <c r="H122">
        <v>568.4</v>
      </c>
      <c r="I122" t="s">
        <v>11</v>
      </c>
    </row>
    <row r="123" spans="1:9" x14ac:dyDescent="0.2">
      <c r="A123" t="s">
        <v>18</v>
      </c>
      <c r="B123" t="s">
        <v>10</v>
      </c>
      <c r="C123" s="3">
        <v>43626</v>
      </c>
      <c r="D123" s="3">
        <v>43626</v>
      </c>
      <c r="E123" s="3">
        <v>43656</v>
      </c>
      <c r="G123">
        <v>23021</v>
      </c>
      <c r="H123">
        <v>26704.3</v>
      </c>
      <c r="I123" t="s">
        <v>11</v>
      </c>
    </row>
    <row r="124" spans="1:9" x14ac:dyDescent="0.2">
      <c r="A124" t="s">
        <v>22</v>
      </c>
      <c r="B124" t="s">
        <v>14</v>
      </c>
      <c r="C124" s="3">
        <v>43626</v>
      </c>
      <c r="D124" s="3">
        <v>43626</v>
      </c>
      <c r="E124" s="3">
        <v>43656</v>
      </c>
      <c r="F124" s="3">
        <v>43627</v>
      </c>
      <c r="G124">
        <v>1480</v>
      </c>
      <c r="H124">
        <v>1716.8</v>
      </c>
      <c r="I124" t="s">
        <v>11</v>
      </c>
    </row>
    <row r="125" spans="1:9" x14ac:dyDescent="0.2">
      <c r="A125" t="s">
        <v>18</v>
      </c>
      <c r="B125" t="s">
        <v>10</v>
      </c>
      <c r="C125" s="3">
        <v>43622</v>
      </c>
      <c r="D125" s="3">
        <v>43622</v>
      </c>
      <c r="E125" s="3">
        <v>43652</v>
      </c>
      <c r="G125">
        <v>29480</v>
      </c>
      <c r="H125">
        <v>34196.800000000003</v>
      </c>
      <c r="I125" t="s">
        <v>11</v>
      </c>
    </row>
    <row r="126" spans="1:9" x14ac:dyDescent="0.2">
      <c r="A126" t="s">
        <v>18</v>
      </c>
      <c r="B126" t="s">
        <v>10</v>
      </c>
      <c r="C126" s="3">
        <v>43622</v>
      </c>
      <c r="D126" s="3">
        <v>43622</v>
      </c>
      <c r="E126" s="3">
        <v>43652</v>
      </c>
      <c r="G126">
        <v>20498</v>
      </c>
      <c r="H126">
        <v>23777.599999999999</v>
      </c>
      <c r="I126" t="s">
        <v>11</v>
      </c>
    </row>
    <row r="127" spans="1:9" x14ac:dyDescent="0.2">
      <c r="A127" t="s">
        <v>13</v>
      </c>
      <c r="B127" t="s">
        <v>10</v>
      </c>
      <c r="C127" s="3">
        <v>43621</v>
      </c>
      <c r="D127" s="3">
        <v>43621</v>
      </c>
      <c r="E127" s="3">
        <v>43651</v>
      </c>
      <c r="G127">
        <v>840</v>
      </c>
      <c r="H127">
        <v>974.4</v>
      </c>
      <c r="I127" t="s">
        <v>11</v>
      </c>
    </row>
    <row r="128" spans="1:9" x14ac:dyDescent="0.2">
      <c r="A128" t="s">
        <v>16</v>
      </c>
      <c r="B128" t="s">
        <v>10</v>
      </c>
      <c r="C128" s="3">
        <v>43621</v>
      </c>
      <c r="D128" s="3">
        <v>43621</v>
      </c>
      <c r="E128" s="3">
        <v>43636</v>
      </c>
      <c r="G128">
        <v>17000</v>
      </c>
      <c r="H128">
        <v>19720</v>
      </c>
      <c r="I128" t="s">
        <v>11</v>
      </c>
    </row>
    <row r="129" spans="1:9" x14ac:dyDescent="0.2">
      <c r="A129" t="s">
        <v>19</v>
      </c>
      <c r="B129" t="s">
        <v>10</v>
      </c>
      <c r="C129" s="3">
        <v>43621</v>
      </c>
      <c r="D129" s="3">
        <v>43613</v>
      </c>
      <c r="E129" s="3">
        <v>43636</v>
      </c>
      <c r="G129">
        <v>35957</v>
      </c>
      <c r="H129">
        <v>41710.1</v>
      </c>
      <c r="I129" t="s">
        <v>11</v>
      </c>
    </row>
    <row r="130" spans="1:9" x14ac:dyDescent="0.2">
      <c r="A130" t="s">
        <v>19</v>
      </c>
      <c r="B130" t="s">
        <v>10</v>
      </c>
      <c r="C130" s="3">
        <v>43621</v>
      </c>
      <c r="D130" s="3">
        <v>43614</v>
      </c>
      <c r="E130" s="3">
        <v>43636</v>
      </c>
      <c r="G130">
        <v>36700</v>
      </c>
      <c r="H130">
        <v>42572</v>
      </c>
      <c r="I130" t="s">
        <v>11</v>
      </c>
    </row>
    <row r="131" spans="1:9" x14ac:dyDescent="0.2">
      <c r="A131" t="s">
        <v>19</v>
      </c>
      <c r="B131" t="s">
        <v>10</v>
      </c>
      <c r="C131" s="3">
        <v>43621</v>
      </c>
      <c r="D131" s="3">
        <v>43613</v>
      </c>
      <c r="E131" s="3">
        <v>43636</v>
      </c>
      <c r="G131">
        <v>42229</v>
      </c>
      <c r="H131">
        <v>48985.599999999999</v>
      </c>
      <c r="I131" t="s">
        <v>11</v>
      </c>
    </row>
    <row r="132" spans="1:9" x14ac:dyDescent="0.2">
      <c r="A132" t="s">
        <v>19</v>
      </c>
      <c r="B132" t="s">
        <v>10</v>
      </c>
      <c r="C132" s="3">
        <v>43621</v>
      </c>
      <c r="D132" s="3">
        <v>43606</v>
      </c>
      <c r="E132" s="3">
        <v>43636</v>
      </c>
      <c r="G132">
        <v>34741</v>
      </c>
      <c r="H132">
        <v>40299.5</v>
      </c>
      <c r="I132" t="s">
        <v>11</v>
      </c>
    </row>
    <row r="133" spans="1:9" x14ac:dyDescent="0.2">
      <c r="A133" t="s">
        <v>19</v>
      </c>
      <c r="B133" t="s">
        <v>10</v>
      </c>
      <c r="C133" s="3">
        <v>43621</v>
      </c>
      <c r="D133" s="3">
        <v>43606</v>
      </c>
      <c r="E133" s="3">
        <v>43636</v>
      </c>
      <c r="G133">
        <v>49040</v>
      </c>
      <c r="H133">
        <v>56886.400000000001</v>
      </c>
      <c r="I133" t="s">
        <v>11</v>
      </c>
    </row>
    <row r="134" spans="1:9" x14ac:dyDescent="0.2">
      <c r="A134" t="s">
        <v>19</v>
      </c>
      <c r="B134" t="s">
        <v>10</v>
      </c>
      <c r="C134" s="3">
        <v>43621</v>
      </c>
      <c r="D134" s="3">
        <v>43599</v>
      </c>
      <c r="E134" s="3">
        <v>43636</v>
      </c>
      <c r="G134">
        <v>42015</v>
      </c>
      <c r="H134">
        <v>48737.4</v>
      </c>
      <c r="I134" t="s">
        <v>11</v>
      </c>
    </row>
    <row r="135" spans="1:9" x14ac:dyDescent="0.2">
      <c r="A135" t="s">
        <v>19</v>
      </c>
      <c r="B135" t="s">
        <v>10</v>
      </c>
      <c r="C135" s="3">
        <v>43621</v>
      </c>
      <c r="D135" s="3">
        <v>43599</v>
      </c>
      <c r="E135" s="3">
        <v>43636</v>
      </c>
      <c r="G135">
        <v>36608</v>
      </c>
      <c r="H135">
        <v>42465.2</v>
      </c>
      <c r="I135" t="s">
        <v>11</v>
      </c>
    </row>
    <row r="136" spans="1:9" x14ac:dyDescent="0.2">
      <c r="A136" t="s">
        <v>19</v>
      </c>
      <c r="B136" t="s">
        <v>10</v>
      </c>
      <c r="C136" s="3">
        <v>43621</v>
      </c>
      <c r="D136" s="3">
        <v>43606</v>
      </c>
      <c r="E136" s="3">
        <v>43636</v>
      </c>
      <c r="G136">
        <v>48444</v>
      </c>
      <c r="H136">
        <v>56195</v>
      </c>
      <c r="I136" t="s">
        <v>11</v>
      </c>
    </row>
    <row r="137" spans="1:9" x14ac:dyDescent="0.2">
      <c r="A137" t="s">
        <v>19</v>
      </c>
      <c r="B137" t="s">
        <v>10</v>
      </c>
      <c r="C137" s="3">
        <v>43621</v>
      </c>
      <c r="D137" s="3">
        <v>43598</v>
      </c>
      <c r="E137" s="3">
        <v>43636</v>
      </c>
      <c r="G137">
        <v>34693</v>
      </c>
      <c r="H137">
        <v>40243.800000000003</v>
      </c>
      <c r="I137" t="s">
        <v>11</v>
      </c>
    </row>
    <row r="138" spans="1:9" x14ac:dyDescent="0.2">
      <c r="A138" t="s">
        <v>18</v>
      </c>
      <c r="B138" t="s">
        <v>10</v>
      </c>
      <c r="C138" s="3">
        <v>43620</v>
      </c>
      <c r="D138" s="3">
        <v>43620</v>
      </c>
      <c r="E138" s="3">
        <v>43650</v>
      </c>
      <c r="G138">
        <v>20866</v>
      </c>
      <c r="H138">
        <v>24204.5</v>
      </c>
      <c r="I138" t="s">
        <v>11</v>
      </c>
    </row>
    <row r="139" spans="1:9" x14ac:dyDescent="0.2">
      <c r="A139" t="s">
        <v>19</v>
      </c>
      <c r="B139" t="s">
        <v>10</v>
      </c>
      <c r="C139" s="3">
        <v>43620</v>
      </c>
      <c r="D139" s="3">
        <v>43620</v>
      </c>
      <c r="E139" s="3">
        <v>43635</v>
      </c>
      <c r="G139">
        <v>1636</v>
      </c>
      <c r="H139">
        <v>1897.76</v>
      </c>
      <c r="I139" t="s">
        <v>11</v>
      </c>
    </row>
    <row r="140" spans="1:9" x14ac:dyDescent="0.2">
      <c r="A140" t="s">
        <v>20</v>
      </c>
      <c r="B140" t="s">
        <v>10</v>
      </c>
      <c r="C140" s="3">
        <v>43619</v>
      </c>
      <c r="D140" s="3">
        <v>43619</v>
      </c>
      <c r="E140" s="3">
        <v>43664</v>
      </c>
      <c r="G140">
        <v>28670</v>
      </c>
      <c r="H140">
        <v>33257.199999999997</v>
      </c>
      <c r="I140" t="s">
        <v>11</v>
      </c>
    </row>
    <row r="141" spans="1:9" x14ac:dyDescent="0.2">
      <c r="A141" t="s">
        <v>26</v>
      </c>
      <c r="B141" t="s">
        <v>10</v>
      </c>
      <c r="C141" s="3">
        <v>43619</v>
      </c>
      <c r="D141" s="3">
        <v>43619</v>
      </c>
      <c r="E141" s="3">
        <v>43626</v>
      </c>
      <c r="G141">
        <v>1244</v>
      </c>
      <c r="H141">
        <v>1443.04</v>
      </c>
      <c r="I141" t="s">
        <v>11</v>
      </c>
    </row>
    <row r="142" spans="1:9" x14ac:dyDescent="0.2">
      <c r="A142" t="s">
        <v>32</v>
      </c>
      <c r="B142" t="s">
        <v>29</v>
      </c>
      <c r="C142" s="3">
        <v>43616</v>
      </c>
      <c r="D142" s="3">
        <v>43616</v>
      </c>
      <c r="E142" s="3">
        <v>43631</v>
      </c>
      <c r="G142">
        <v>6118.32</v>
      </c>
      <c r="H142">
        <v>7097.25</v>
      </c>
      <c r="I142" t="s">
        <v>11</v>
      </c>
    </row>
    <row r="143" spans="1:9" x14ac:dyDescent="0.2">
      <c r="A143" t="s">
        <v>21</v>
      </c>
      <c r="B143" t="s">
        <v>10</v>
      </c>
      <c r="C143" s="3">
        <v>43616</v>
      </c>
      <c r="D143" s="3">
        <v>43616</v>
      </c>
      <c r="E143" s="3">
        <v>43623</v>
      </c>
      <c r="G143">
        <v>3420</v>
      </c>
      <c r="H143">
        <v>3967.2</v>
      </c>
      <c r="I143" t="s">
        <v>11</v>
      </c>
    </row>
    <row r="144" spans="1:9" x14ac:dyDescent="0.2">
      <c r="A144" t="s">
        <v>18</v>
      </c>
      <c r="B144" t="s">
        <v>10</v>
      </c>
      <c r="C144" s="3">
        <v>43614</v>
      </c>
      <c r="D144" s="3">
        <v>43614</v>
      </c>
      <c r="E144" s="3">
        <v>43644</v>
      </c>
      <c r="G144">
        <v>12232</v>
      </c>
      <c r="H144">
        <v>14189.1</v>
      </c>
      <c r="I144" t="s">
        <v>11</v>
      </c>
    </row>
    <row r="145" spans="1:9" x14ac:dyDescent="0.2">
      <c r="A145" t="s">
        <v>16</v>
      </c>
      <c r="B145" t="s">
        <v>10</v>
      </c>
      <c r="C145" s="3">
        <v>43614</v>
      </c>
      <c r="D145" s="3">
        <v>43614</v>
      </c>
      <c r="E145" s="3">
        <v>43629</v>
      </c>
      <c r="G145">
        <v>98</v>
      </c>
      <c r="H145">
        <v>113.68</v>
      </c>
      <c r="I145" t="s">
        <v>11</v>
      </c>
    </row>
    <row r="146" spans="1:9" x14ac:dyDescent="0.2">
      <c r="A146" t="s">
        <v>32</v>
      </c>
      <c r="B146" t="s">
        <v>10</v>
      </c>
      <c r="C146" s="3">
        <v>43614</v>
      </c>
      <c r="D146" s="3">
        <v>43614</v>
      </c>
      <c r="E146" s="3">
        <v>43629</v>
      </c>
      <c r="G146">
        <v>3657.6</v>
      </c>
      <c r="H146">
        <v>4242.82</v>
      </c>
      <c r="I146" t="s">
        <v>11</v>
      </c>
    </row>
    <row r="147" spans="1:9" x14ac:dyDescent="0.2">
      <c r="A147" t="s">
        <v>32</v>
      </c>
      <c r="B147" t="s">
        <v>10</v>
      </c>
      <c r="C147" s="3">
        <v>43614</v>
      </c>
      <c r="D147" s="3">
        <v>43614</v>
      </c>
      <c r="E147" s="3">
        <v>43629</v>
      </c>
      <c r="G147">
        <v>37642.800000000003</v>
      </c>
      <c r="H147">
        <v>43665.599999999999</v>
      </c>
      <c r="I147" t="s">
        <v>11</v>
      </c>
    </row>
    <row r="148" spans="1:9" x14ac:dyDescent="0.2">
      <c r="A148" t="s">
        <v>16</v>
      </c>
      <c r="B148" t="s">
        <v>10</v>
      </c>
      <c r="C148" s="3">
        <v>43612</v>
      </c>
      <c r="D148" s="3">
        <v>43612</v>
      </c>
      <c r="E148" s="3">
        <v>43627</v>
      </c>
      <c r="G148">
        <v>105384</v>
      </c>
      <c r="H148">
        <v>122245</v>
      </c>
      <c r="I148" t="s">
        <v>11</v>
      </c>
    </row>
    <row r="149" spans="1:9" x14ac:dyDescent="0.2">
      <c r="A149" t="s">
        <v>18</v>
      </c>
      <c r="B149" t="s">
        <v>10</v>
      </c>
      <c r="C149" s="3">
        <v>43612</v>
      </c>
      <c r="D149" s="3">
        <v>43612</v>
      </c>
      <c r="E149" s="3">
        <v>43642</v>
      </c>
      <c r="G149">
        <v>900</v>
      </c>
      <c r="H149">
        <v>1044</v>
      </c>
      <c r="I149" t="s">
        <v>11</v>
      </c>
    </row>
    <row r="150" spans="1:9" x14ac:dyDescent="0.2">
      <c r="A150" t="s">
        <v>18</v>
      </c>
      <c r="B150" t="s">
        <v>10</v>
      </c>
      <c r="C150" s="3">
        <v>43609</v>
      </c>
      <c r="D150" s="3">
        <v>43609</v>
      </c>
      <c r="E150" s="3">
        <v>43639</v>
      </c>
      <c r="G150">
        <v>10128</v>
      </c>
      <c r="H150">
        <v>11748.4</v>
      </c>
      <c r="I150" t="s">
        <v>11</v>
      </c>
    </row>
    <row r="151" spans="1:9" x14ac:dyDescent="0.2">
      <c r="A151" t="s">
        <v>18</v>
      </c>
      <c r="B151" t="s">
        <v>10</v>
      </c>
      <c r="C151" s="3">
        <v>43609</v>
      </c>
      <c r="D151" s="3">
        <v>43606</v>
      </c>
      <c r="E151" s="3">
        <v>43639</v>
      </c>
      <c r="G151">
        <v>24027</v>
      </c>
      <c r="H151">
        <v>27871.3</v>
      </c>
      <c r="I151" t="s">
        <v>11</v>
      </c>
    </row>
    <row r="152" spans="1:9" x14ac:dyDescent="0.2">
      <c r="A152" t="s">
        <v>18</v>
      </c>
      <c r="B152" t="s">
        <v>10</v>
      </c>
      <c r="C152" s="3">
        <v>43609</v>
      </c>
      <c r="D152" s="3">
        <v>43609</v>
      </c>
      <c r="E152" s="3">
        <v>43639</v>
      </c>
      <c r="G152">
        <v>23523</v>
      </c>
      <c r="H152">
        <v>27286.6</v>
      </c>
      <c r="I152" t="s">
        <v>11</v>
      </c>
    </row>
    <row r="153" spans="1:9" x14ac:dyDescent="0.2">
      <c r="A153" t="s">
        <v>18</v>
      </c>
      <c r="B153" t="s">
        <v>14</v>
      </c>
      <c r="C153" s="3">
        <v>43609</v>
      </c>
      <c r="D153" s="3">
        <v>43609</v>
      </c>
      <c r="E153" s="3">
        <v>43639</v>
      </c>
      <c r="F153" s="3">
        <v>43609</v>
      </c>
      <c r="G153">
        <v>23523</v>
      </c>
      <c r="H153">
        <v>27286.6</v>
      </c>
      <c r="I153" t="s">
        <v>11</v>
      </c>
    </row>
    <row r="154" spans="1:9" x14ac:dyDescent="0.2">
      <c r="A154" t="s">
        <v>18</v>
      </c>
      <c r="B154" t="s">
        <v>14</v>
      </c>
      <c r="C154" s="3">
        <v>43609</v>
      </c>
      <c r="D154" s="3">
        <v>43606</v>
      </c>
      <c r="E154" s="3">
        <v>43639</v>
      </c>
      <c r="F154" s="3">
        <v>43609</v>
      </c>
      <c r="G154">
        <v>24027</v>
      </c>
      <c r="H154">
        <v>27871.3</v>
      </c>
      <c r="I154" t="s">
        <v>11</v>
      </c>
    </row>
    <row r="155" spans="1:9" x14ac:dyDescent="0.2">
      <c r="A155" t="s">
        <v>32</v>
      </c>
      <c r="B155" t="s">
        <v>10</v>
      </c>
      <c r="C155" s="3">
        <v>43609</v>
      </c>
      <c r="D155" s="3">
        <v>43609</v>
      </c>
      <c r="E155" s="3">
        <v>43624</v>
      </c>
      <c r="G155">
        <v>28963.4</v>
      </c>
      <c r="H155">
        <v>33597.599999999999</v>
      </c>
      <c r="I155" t="s">
        <v>11</v>
      </c>
    </row>
    <row r="156" spans="1:9" x14ac:dyDescent="0.2">
      <c r="A156" t="s">
        <v>19</v>
      </c>
      <c r="B156" t="s">
        <v>10</v>
      </c>
      <c r="C156" s="3">
        <v>43608</v>
      </c>
      <c r="D156" s="3">
        <v>43608</v>
      </c>
      <c r="E156" s="3">
        <v>43623</v>
      </c>
      <c r="G156">
        <v>14740</v>
      </c>
      <c r="H156">
        <v>17098.400000000001</v>
      </c>
      <c r="I156" t="s">
        <v>11</v>
      </c>
    </row>
    <row r="157" spans="1:9" x14ac:dyDescent="0.2">
      <c r="A157" t="s">
        <v>19</v>
      </c>
      <c r="B157" t="s">
        <v>14</v>
      </c>
      <c r="C157" s="3">
        <v>43608</v>
      </c>
      <c r="D157" s="3">
        <v>43608</v>
      </c>
      <c r="E157" s="3">
        <v>43623</v>
      </c>
      <c r="F157" s="3">
        <v>43608</v>
      </c>
      <c r="G157">
        <v>14740</v>
      </c>
      <c r="H157">
        <v>17098.400000000001</v>
      </c>
      <c r="I157" t="s">
        <v>11</v>
      </c>
    </row>
    <row r="158" spans="1:9" x14ac:dyDescent="0.2">
      <c r="A158" t="s">
        <v>32</v>
      </c>
      <c r="B158" t="s">
        <v>10</v>
      </c>
      <c r="C158" s="3">
        <v>43607</v>
      </c>
      <c r="D158" s="3">
        <v>43607</v>
      </c>
      <c r="E158" s="3">
        <v>43622</v>
      </c>
      <c r="G158">
        <v>11625.8</v>
      </c>
      <c r="H158">
        <v>13485.9</v>
      </c>
      <c r="I158" t="s">
        <v>11</v>
      </c>
    </row>
    <row r="159" spans="1:9" x14ac:dyDescent="0.2">
      <c r="A159" t="s">
        <v>20</v>
      </c>
      <c r="B159" t="s">
        <v>10</v>
      </c>
      <c r="C159" s="3">
        <v>43606</v>
      </c>
      <c r="D159" s="3">
        <v>43606</v>
      </c>
      <c r="E159" s="3">
        <v>43651</v>
      </c>
      <c r="G159">
        <v>32583</v>
      </c>
      <c r="H159">
        <v>37796.199999999997</v>
      </c>
      <c r="I159" t="s">
        <v>11</v>
      </c>
    </row>
    <row r="160" spans="1:9" x14ac:dyDescent="0.2">
      <c r="A160" t="s">
        <v>25</v>
      </c>
      <c r="B160" t="s">
        <v>10</v>
      </c>
      <c r="C160" s="3">
        <v>43606</v>
      </c>
      <c r="D160" s="3">
        <v>43606</v>
      </c>
      <c r="E160" s="3">
        <v>43636</v>
      </c>
      <c r="G160">
        <v>1978.8</v>
      </c>
      <c r="H160">
        <v>2295.41</v>
      </c>
      <c r="I160" t="s">
        <v>11</v>
      </c>
    </row>
    <row r="161" spans="1:9" x14ac:dyDescent="0.2">
      <c r="A161" t="s">
        <v>32</v>
      </c>
      <c r="B161" t="s">
        <v>10</v>
      </c>
      <c r="C161" s="3">
        <v>43602</v>
      </c>
      <c r="D161" s="3">
        <v>43602</v>
      </c>
      <c r="E161" s="3">
        <v>43617</v>
      </c>
      <c r="G161">
        <v>28087.200000000001</v>
      </c>
      <c r="H161">
        <v>32581.200000000001</v>
      </c>
      <c r="I161" t="s">
        <v>11</v>
      </c>
    </row>
    <row r="162" spans="1:9" x14ac:dyDescent="0.2">
      <c r="A162" t="s">
        <v>32</v>
      </c>
      <c r="B162" t="s">
        <v>10</v>
      </c>
      <c r="C162" s="3">
        <v>43602</v>
      </c>
      <c r="D162" s="3">
        <v>43602</v>
      </c>
      <c r="E162" s="3">
        <v>43617</v>
      </c>
      <c r="G162">
        <v>4665.28</v>
      </c>
      <c r="H162">
        <v>5411.72</v>
      </c>
      <c r="I162" t="s">
        <v>11</v>
      </c>
    </row>
    <row r="163" spans="1:9" x14ac:dyDescent="0.2">
      <c r="A163" t="s">
        <v>12</v>
      </c>
      <c r="B163" t="s">
        <v>10</v>
      </c>
      <c r="C163" s="3">
        <v>43600</v>
      </c>
      <c r="D163" s="3">
        <v>43600</v>
      </c>
      <c r="E163" s="3">
        <v>43630</v>
      </c>
      <c r="G163">
        <v>99927</v>
      </c>
      <c r="H163">
        <v>99927</v>
      </c>
      <c r="I163" t="s">
        <v>11</v>
      </c>
    </row>
    <row r="164" spans="1:9" x14ac:dyDescent="0.2">
      <c r="A164" t="s">
        <v>32</v>
      </c>
      <c r="B164" t="s">
        <v>10</v>
      </c>
      <c r="C164" s="3">
        <v>43600</v>
      </c>
      <c r="D164" s="3">
        <v>43600</v>
      </c>
      <c r="E164" s="3">
        <v>43615</v>
      </c>
      <c r="G164">
        <v>33908.699999999997</v>
      </c>
      <c r="H164">
        <v>39334.1</v>
      </c>
      <c r="I164" t="s">
        <v>11</v>
      </c>
    </row>
    <row r="165" spans="1:9" x14ac:dyDescent="0.2">
      <c r="A165" t="s">
        <v>33</v>
      </c>
      <c r="B165" t="s">
        <v>10</v>
      </c>
      <c r="C165" s="3">
        <v>43600</v>
      </c>
      <c r="D165" s="3">
        <v>43600</v>
      </c>
      <c r="E165" s="3">
        <v>43600</v>
      </c>
      <c r="G165">
        <v>146.52000000000001</v>
      </c>
      <c r="H165">
        <v>169.96</v>
      </c>
      <c r="I165" t="s">
        <v>11</v>
      </c>
    </row>
    <row r="166" spans="1:9" x14ac:dyDescent="0.2">
      <c r="A166" t="s">
        <v>32</v>
      </c>
      <c r="B166" t="s">
        <v>10</v>
      </c>
      <c r="C166" s="3">
        <v>43600</v>
      </c>
      <c r="D166" s="3">
        <v>43600</v>
      </c>
      <c r="E166" s="3">
        <v>43615</v>
      </c>
      <c r="G166">
        <v>10017.1</v>
      </c>
      <c r="H166">
        <v>11619.9</v>
      </c>
      <c r="I166" t="s">
        <v>11</v>
      </c>
    </row>
    <row r="167" spans="1:9" x14ac:dyDescent="0.2">
      <c r="A167" t="s">
        <v>33</v>
      </c>
      <c r="B167" t="s">
        <v>10</v>
      </c>
      <c r="C167" s="3">
        <v>43599</v>
      </c>
      <c r="D167" s="3">
        <v>43599</v>
      </c>
      <c r="E167" s="3">
        <v>43599</v>
      </c>
      <c r="G167">
        <v>5850</v>
      </c>
      <c r="H167">
        <v>6786</v>
      </c>
      <c r="I167" t="s">
        <v>11</v>
      </c>
    </row>
    <row r="168" spans="1:9" x14ac:dyDescent="0.2">
      <c r="A168" t="s">
        <v>18</v>
      </c>
      <c r="B168" t="s">
        <v>10</v>
      </c>
      <c r="C168" s="3">
        <v>43599</v>
      </c>
      <c r="D168" s="3">
        <v>43599</v>
      </c>
      <c r="E168" s="3">
        <v>43629</v>
      </c>
      <c r="G168">
        <v>14740</v>
      </c>
      <c r="H168">
        <v>17098.400000000001</v>
      </c>
      <c r="I168" t="s">
        <v>11</v>
      </c>
    </row>
    <row r="169" spans="1:9" x14ac:dyDescent="0.2">
      <c r="A169" t="s">
        <v>19</v>
      </c>
      <c r="B169" t="s">
        <v>10</v>
      </c>
      <c r="C169" s="3">
        <v>43599</v>
      </c>
      <c r="D169" s="3">
        <v>43599</v>
      </c>
      <c r="E169" s="3">
        <v>43614</v>
      </c>
      <c r="G169">
        <v>6161</v>
      </c>
      <c r="H169">
        <v>7146.76</v>
      </c>
      <c r="I169" t="s">
        <v>11</v>
      </c>
    </row>
    <row r="170" spans="1:9" x14ac:dyDescent="0.2">
      <c r="A170" t="s">
        <v>19</v>
      </c>
      <c r="B170" t="s">
        <v>10</v>
      </c>
      <c r="C170" s="3">
        <v>43599</v>
      </c>
      <c r="D170" s="3">
        <v>43599</v>
      </c>
      <c r="E170" s="3">
        <v>43614</v>
      </c>
      <c r="G170">
        <v>6161</v>
      </c>
      <c r="H170">
        <v>7146.76</v>
      </c>
      <c r="I170" t="s">
        <v>11</v>
      </c>
    </row>
    <row r="171" spans="1:9" x14ac:dyDescent="0.2">
      <c r="A171" t="s">
        <v>19</v>
      </c>
      <c r="B171" t="s">
        <v>10</v>
      </c>
      <c r="C171" s="3">
        <v>43599</v>
      </c>
      <c r="D171" s="3">
        <v>43599</v>
      </c>
      <c r="E171" s="3">
        <v>43614</v>
      </c>
      <c r="G171">
        <v>6206</v>
      </c>
      <c r="H171">
        <v>7198.96</v>
      </c>
      <c r="I171" t="s">
        <v>11</v>
      </c>
    </row>
    <row r="172" spans="1:9" x14ac:dyDescent="0.2">
      <c r="A172" t="s">
        <v>19</v>
      </c>
      <c r="B172" t="s">
        <v>10</v>
      </c>
      <c r="C172" s="3">
        <v>43599</v>
      </c>
      <c r="D172" s="3">
        <v>43599</v>
      </c>
      <c r="E172" s="3">
        <v>43614</v>
      </c>
      <c r="G172">
        <v>8237</v>
      </c>
      <c r="H172">
        <v>9554.92</v>
      </c>
      <c r="I172" t="s">
        <v>11</v>
      </c>
    </row>
    <row r="173" spans="1:9" x14ac:dyDescent="0.2">
      <c r="A173" t="s">
        <v>19</v>
      </c>
      <c r="B173" t="s">
        <v>10</v>
      </c>
      <c r="C173" s="3">
        <v>43599</v>
      </c>
      <c r="D173" s="3">
        <v>43599</v>
      </c>
      <c r="E173" s="3">
        <v>43614</v>
      </c>
      <c r="G173">
        <v>14546</v>
      </c>
      <c r="H173">
        <v>16873.3</v>
      </c>
      <c r="I173" t="s">
        <v>11</v>
      </c>
    </row>
    <row r="174" spans="1:9" x14ac:dyDescent="0.2">
      <c r="A174" t="s">
        <v>19</v>
      </c>
      <c r="B174" t="s">
        <v>10</v>
      </c>
      <c r="C174" s="3">
        <v>43599</v>
      </c>
      <c r="D174" s="3">
        <v>43599</v>
      </c>
      <c r="E174" s="3">
        <v>43614</v>
      </c>
      <c r="G174">
        <v>6161</v>
      </c>
      <c r="H174">
        <v>7146.76</v>
      </c>
      <c r="I174" t="s">
        <v>11</v>
      </c>
    </row>
    <row r="175" spans="1:9" x14ac:dyDescent="0.2">
      <c r="A175" t="s">
        <v>19</v>
      </c>
      <c r="B175" t="s">
        <v>10</v>
      </c>
      <c r="C175" s="3">
        <v>43599</v>
      </c>
      <c r="D175" s="3">
        <v>43563</v>
      </c>
      <c r="E175" s="3">
        <v>43614</v>
      </c>
      <c r="G175">
        <v>48578</v>
      </c>
      <c r="H175">
        <v>56350.400000000001</v>
      </c>
      <c r="I175" t="s">
        <v>11</v>
      </c>
    </row>
    <row r="176" spans="1:9" x14ac:dyDescent="0.2">
      <c r="A176" t="s">
        <v>19</v>
      </c>
      <c r="B176" t="s">
        <v>10</v>
      </c>
      <c r="C176" s="3">
        <v>43599</v>
      </c>
      <c r="D176" s="3">
        <v>43599</v>
      </c>
      <c r="E176" s="3">
        <v>43614</v>
      </c>
      <c r="G176">
        <v>7481</v>
      </c>
      <c r="H176">
        <v>8677.9599999999991</v>
      </c>
      <c r="I176" t="s">
        <v>11</v>
      </c>
    </row>
    <row r="177" spans="1:9" x14ac:dyDescent="0.2">
      <c r="A177" t="s">
        <v>19</v>
      </c>
      <c r="B177" t="s">
        <v>10</v>
      </c>
      <c r="C177" s="3">
        <v>43599</v>
      </c>
      <c r="D177" s="3">
        <v>43578</v>
      </c>
      <c r="E177" s="3">
        <v>43614</v>
      </c>
      <c r="G177">
        <v>13744</v>
      </c>
      <c r="H177">
        <v>15943</v>
      </c>
      <c r="I177" t="s">
        <v>11</v>
      </c>
    </row>
    <row r="178" spans="1:9" x14ac:dyDescent="0.2">
      <c r="A178" t="s">
        <v>19</v>
      </c>
      <c r="B178" t="s">
        <v>10</v>
      </c>
      <c r="C178" s="3">
        <v>43599</v>
      </c>
      <c r="D178" s="3">
        <v>43578</v>
      </c>
      <c r="E178" s="3">
        <v>43614</v>
      </c>
      <c r="G178">
        <v>14344</v>
      </c>
      <c r="H178">
        <v>16639</v>
      </c>
      <c r="I178" t="s">
        <v>11</v>
      </c>
    </row>
    <row r="179" spans="1:9" x14ac:dyDescent="0.2">
      <c r="A179" t="s">
        <v>19</v>
      </c>
      <c r="B179" t="s">
        <v>10</v>
      </c>
      <c r="C179" s="3">
        <v>43599</v>
      </c>
      <c r="D179" s="3">
        <v>43580</v>
      </c>
      <c r="E179" s="3">
        <v>43614</v>
      </c>
      <c r="G179">
        <v>14834</v>
      </c>
      <c r="H179">
        <v>17207.400000000001</v>
      </c>
      <c r="I179" t="s">
        <v>11</v>
      </c>
    </row>
    <row r="180" spans="1:9" x14ac:dyDescent="0.2">
      <c r="A180" t="s">
        <v>19</v>
      </c>
      <c r="B180" t="s">
        <v>10</v>
      </c>
      <c r="C180" s="3">
        <v>43599</v>
      </c>
      <c r="D180" s="3">
        <v>43580</v>
      </c>
      <c r="E180" s="3">
        <v>43614</v>
      </c>
      <c r="G180">
        <v>14139</v>
      </c>
      <c r="H180">
        <v>16401.2</v>
      </c>
      <c r="I180" t="s">
        <v>11</v>
      </c>
    </row>
    <row r="181" spans="1:9" x14ac:dyDescent="0.2">
      <c r="A181" t="s">
        <v>18</v>
      </c>
      <c r="B181" t="s">
        <v>10</v>
      </c>
      <c r="C181" s="3">
        <v>43599</v>
      </c>
      <c r="D181" s="3">
        <v>43598</v>
      </c>
      <c r="E181" s="3">
        <v>43629</v>
      </c>
      <c r="G181">
        <v>22338</v>
      </c>
      <c r="H181">
        <v>25912</v>
      </c>
      <c r="I181" t="s">
        <v>11</v>
      </c>
    </row>
    <row r="182" spans="1:9" x14ac:dyDescent="0.2">
      <c r="A182" t="s">
        <v>18</v>
      </c>
      <c r="B182" t="s">
        <v>10</v>
      </c>
      <c r="C182" s="3">
        <v>43599</v>
      </c>
      <c r="D182" s="3">
        <v>43598</v>
      </c>
      <c r="E182" s="3">
        <v>43629</v>
      </c>
      <c r="G182">
        <v>29885</v>
      </c>
      <c r="H182">
        <v>34666.6</v>
      </c>
      <c r="I182" t="s">
        <v>11</v>
      </c>
    </row>
    <row r="183" spans="1:9" x14ac:dyDescent="0.2">
      <c r="A183" t="s">
        <v>18</v>
      </c>
      <c r="B183" t="s">
        <v>14</v>
      </c>
      <c r="C183" s="3">
        <v>43599</v>
      </c>
      <c r="D183" s="3">
        <v>43598</v>
      </c>
      <c r="E183" s="3">
        <v>43629</v>
      </c>
      <c r="F183" s="3">
        <v>43599</v>
      </c>
      <c r="G183">
        <v>22338</v>
      </c>
      <c r="H183">
        <v>25912</v>
      </c>
      <c r="I183" t="s">
        <v>11</v>
      </c>
    </row>
    <row r="184" spans="1:9" x14ac:dyDescent="0.2">
      <c r="A184" t="s">
        <v>32</v>
      </c>
      <c r="B184" t="s">
        <v>10</v>
      </c>
      <c r="C184" s="3">
        <v>43599</v>
      </c>
      <c r="D184" s="3">
        <v>43599</v>
      </c>
      <c r="E184" s="3">
        <v>43614</v>
      </c>
      <c r="G184">
        <v>21015.7</v>
      </c>
      <c r="H184">
        <v>24378.2</v>
      </c>
      <c r="I184" t="s">
        <v>11</v>
      </c>
    </row>
    <row r="185" spans="1:9" x14ac:dyDescent="0.2">
      <c r="A185" t="s">
        <v>34</v>
      </c>
      <c r="B185" t="s">
        <v>10</v>
      </c>
      <c r="C185" s="3">
        <v>43598</v>
      </c>
      <c r="D185" s="3">
        <v>43566</v>
      </c>
      <c r="E185" s="3">
        <v>43598</v>
      </c>
      <c r="G185">
        <v>5079.4399999999996</v>
      </c>
      <c r="H185">
        <v>5892.15</v>
      </c>
      <c r="I185" t="s">
        <v>11</v>
      </c>
    </row>
    <row r="186" spans="1:9" x14ac:dyDescent="0.2">
      <c r="A186" t="s">
        <v>16</v>
      </c>
      <c r="B186" t="s">
        <v>10</v>
      </c>
      <c r="C186" s="3">
        <v>43598</v>
      </c>
      <c r="D186" s="3">
        <v>43598</v>
      </c>
      <c r="E186" s="3">
        <v>43613</v>
      </c>
      <c r="G186">
        <v>17000</v>
      </c>
      <c r="H186">
        <v>19720</v>
      </c>
      <c r="I186" t="s">
        <v>11</v>
      </c>
    </row>
    <row r="187" spans="1:9" x14ac:dyDescent="0.2">
      <c r="A187" t="s">
        <v>19</v>
      </c>
      <c r="B187" t="s">
        <v>10</v>
      </c>
      <c r="C187" s="3">
        <v>43595</v>
      </c>
      <c r="D187" s="3">
        <v>43595</v>
      </c>
      <c r="E187" s="3">
        <v>43610</v>
      </c>
      <c r="G187">
        <v>6722</v>
      </c>
      <c r="H187">
        <v>7797.52</v>
      </c>
      <c r="I187" t="s">
        <v>11</v>
      </c>
    </row>
    <row r="188" spans="1:9" x14ac:dyDescent="0.2">
      <c r="A188" t="s">
        <v>19</v>
      </c>
      <c r="B188" t="s">
        <v>10</v>
      </c>
      <c r="C188" s="3">
        <v>43595</v>
      </c>
      <c r="D188" s="3">
        <v>43585</v>
      </c>
      <c r="E188" s="3">
        <v>43610</v>
      </c>
      <c r="G188">
        <v>7535</v>
      </c>
      <c r="H188">
        <v>8740.6</v>
      </c>
      <c r="I188" t="s">
        <v>11</v>
      </c>
    </row>
    <row r="189" spans="1:9" x14ac:dyDescent="0.2">
      <c r="A189" t="s">
        <v>19</v>
      </c>
      <c r="B189" t="s">
        <v>10</v>
      </c>
      <c r="C189" s="3">
        <v>43595</v>
      </c>
      <c r="D189" s="3">
        <v>43585</v>
      </c>
      <c r="E189" s="3">
        <v>43610</v>
      </c>
      <c r="G189">
        <v>7481</v>
      </c>
      <c r="H189">
        <v>8677.9599999999991</v>
      </c>
      <c r="I189" t="s">
        <v>11</v>
      </c>
    </row>
    <row r="190" spans="1:9" x14ac:dyDescent="0.2">
      <c r="A190" t="s">
        <v>19</v>
      </c>
      <c r="B190" t="s">
        <v>10</v>
      </c>
      <c r="C190" s="3">
        <v>43595</v>
      </c>
      <c r="D190" s="3">
        <v>43585</v>
      </c>
      <c r="E190" s="3">
        <v>43610</v>
      </c>
      <c r="G190">
        <v>5750</v>
      </c>
      <c r="H190">
        <v>6670</v>
      </c>
      <c r="I190" t="s">
        <v>11</v>
      </c>
    </row>
    <row r="191" spans="1:9" x14ac:dyDescent="0.2">
      <c r="A191" t="s">
        <v>19</v>
      </c>
      <c r="B191" t="s">
        <v>10</v>
      </c>
      <c r="C191" s="3">
        <v>43595</v>
      </c>
      <c r="D191" s="3">
        <v>43585</v>
      </c>
      <c r="E191" s="3">
        <v>43610</v>
      </c>
      <c r="G191">
        <v>7131</v>
      </c>
      <c r="H191">
        <v>8271.9599999999991</v>
      </c>
      <c r="I191" t="s">
        <v>11</v>
      </c>
    </row>
    <row r="192" spans="1:9" x14ac:dyDescent="0.2">
      <c r="A192" t="s">
        <v>19</v>
      </c>
      <c r="B192" t="s">
        <v>10</v>
      </c>
      <c r="C192" s="3">
        <v>43595</v>
      </c>
      <c r="D192" s="3">
        <v>43580</v>
      </c>
      <c r="E192" s="3">
        <v>43610</v>
      </c>
      <c r="G192">
        <v>13382</v>
      </c>
      <c r="H192">
        <v>15523.1</v>
      </c>
      <c r="I192" t="s">
        <v>11</v>
      </c>
    </row>
    <row r="193" spans="1:9" x14ac:dyDescent="0.2">
      <c r="A193" t="s">
        <v>19</v>
      </c>
      <c r="B193" t="s">
        <v>10</v>
      </c>
      <c r="C193" s="3">
        <v>43595</v>
      </c>
      <c r="D193" s="3">
        <v>43580</v>
      </c>
      <c r="E193" s="3">
        <v>43610</v>
      </c>
      <c r="G193">
        <v>7499</v>
      </c>
      <c r="H193">
        <v>8698.84</v>
      </c>
      <c r="I193" t="s">
        <v>11</v>
      </c>
    </row>
    <row r="194" spans="1:9" x14ac:dyDescent="0.2">
      <c r="A194" t="s">
        <v>19</v>
      </c>
      <c r="B194" t="s">
        <v>10</v>
      </c>
      <c r="C194" s="3">
        <v>43595</v>
      </c>
      <c r="D194" s="3">
        <v>43580</v>
      </c>
      <c r="E194" s="3">
        <v>43610</v>
      </c>
      <c r="G194">
        <v>13410</v>
      </c>
      <c r="H194">
        <v>15555.6</v>
      </c>
      <c r="I194" t="s">
        <v>11</v>
      </c>
    </row>
    <row r="195" spans="1:9" x14ac:dyDescent="0.2">
      <c r="A195" t="s">
        <v>19</v>
      </c>
      <c r="B195" t="s">
        <v>10</v>
      </c>
      <c r="C195" s="3">
        <v>43595</v>
      </c>
      <c r="D195" s="3">
        <v>43580</v>
      </c>
      <c r="E195" s="3">
        <v>43610</v>
      </c>
      <c r="G195">
        <v>7999</v>
      </c>
      <c r="H195">
        <v>9278.84</v>
      </c>
      <c r="I195" t="s">
        <v>11</v>
      </c>
    </row>
    <row r="196" spans="1:9" x14ac:dyDescent="0.2">
      <c r="A196" t="s">
        <v>19</v>
      </c>
      <c r="B196" t="s">
        <v>10</v>
      </c>
      <c r="C196" s="3">
        <v>43595</v>
      </c>
      <c r="D196" s="3">
        <v>43578</v>
      </c>
      <c r="E196" s="3">
        <v>43610</v>
      </c>
      <c r="G196">
        <v>6161</v>
      </c>
      <c r="H196">
        <v>7146.76</v>
      </c>
      <c r="I196" t="s">
        <v>11</v>
      </c>
    </row>
    <row r="197" spans="1:9" x14ac:dyDescent="0.2">
      <c r="A197" t="s">
        <v>19</v>
      </c>
      <c r="B197" t="s">
        <v>10</v>
      </c>
      <c r="C197" s="3">
        <v>43595</v>
      </c>
      <c r="D197" s="3">
        <v>43578</v>
      </c>
      <c r="E197" s="3">
        <v>43610</v>
      </c>
      <c r="G197">
        <v>7559</v>
      </c>
      <c r="H197">
        <v>8768.44</v>
      </c>
      <c r="I197" t="s">
        <v>11</v>
      </c>
    </row>
    <row r="198" spans="1:9" x14ac:dyDescent="0.2">
      <c r="A198" t="s">
        <v>19</v>
      </c>
      <c r="B198" t="s">
        <v>10</v>
      </c>
      <c r="C198" s="3">
        <v>43595</v>
      </c>
      <c r="D198" s="3">
        <v>43563</v>
      </c>
      <c r="E198" s="3">
        <v>43610</v>
      </c>
      <c r="G198">
        <v>7195</v>
      </c>
      <c r="H198">
        <v>8346.2000000000007</v>
      </c>
      <c r="I198" t="s">
        <v>11</v>
      </c>
    </row>
    <row r="199" spans="1:9" x14ac:dyDescent="0.2">
      <c r="A199" t="s">
        <v>19</v>
      </c>
      <c r="B199" t="s">
        <v>10</v>
      </c>
      <c r="C199" s="3">
        <v>43595</v>
      </c>
      <c r="D199" s="3">
        <v>43563</v>
      </c>
      <c r="E199" s="3">
        <v>43610</v>
      </c>
      <c r="G199">
        <v>6161</v>
      </c>
      <c r="H199">
        <v>7146.76</v>
      </c>
      <c r="I199" t="s">
        <v>11</v>
      </c>
    </row>
    <row r="200" spans="1:9" x14ac:dyDescent="0.2">
      <c r="A200" t="s">
        <v>19</v>
      </c>
      <c r="B200" t="s">
        <v>10</v>
      </c>
      <c r="C200" s="3">
        <v>43595</v>
      </c>
      <c r="D200" s="3">
        <v>43557</v>
      </c>
      <c r="E200" s="3">
        <v>43610</v>
      </c>
      <c r="G200">
        <v>14184</v>
      </c>
      <c r="H200">
        <v>16453.400000000001</v>
      </c>
      <c r="I200" t="s">
        <v>11</v>
      </c>
    </row>
    <row r="201" spans="1:9" x14ac:dyDescent="0.2">
      <c r="A201" t="s">
        <v>19</v>
      </c>
      <c r="B201" t="s">
        <v>10</v>
      </c>
      <c r="C201" s="3">
        <v>43595</v>
      </c>
      <c r="D201" s="3">
        <v>43557</v>
      </c>
      <c r="E201" s="3">
        <v>43610</v>
      </c>
      <c r="G201">
        <v>20441</v>
      </c>
      <c r="H201">
        <v>23711.5</v>
      </c>
      <c r="I201" t="s">
        <v>11</v>
      </c>
    </row>
    <row r="202" spans="1:9" x14ac:dyDescent="0.2">
      <c r="A202" t="s">
        <v>19</v>
      </c>
      <c r="B202" t="s">
        <v>10</v>
      </c>
      <c r="C202" s="3">
        <v>43595</v>
      </c>
      <c r="D202" s="3" t="s">
        <v>35</v>
      </c>
      <c r="E202" s="3">
        <v>43610</v>
      </c>
      <c r="G202">
        <v>7586</v>
      </c>
      <c r="H202">
        <v>8799.76</v>
      </c>
      <c r="I202" t="s">
        <v>11</v>
      </c>
    </row>
    <row r="203" spans="1:9" x14ac:dyDescent="0.2">
      <c r="A203" t="s">
        <v>19</v>
      </c>
      <c r="B203" t="s">
        <v>10</v>
      </c>
      <c r="C203" s="3">
        <v>43595</v>
      </c>
      <c r="D203" s="3">
        <v>43546</v>
      </c>
      <c r="E203" s="3">
        <v>43610</v>
      </c>
      <c r="G203">
        <v>40432</v>
      </c>
      <c r="H203">
        <v>46901.1</v>
      </c>
      <c r="I203" t="s">
        <v>11</v>
      </c>
    </row>
    <row r="204" spans="1:9" x14ac:dyDescent="0.2">
      <c r="A204" t="s">
        <v>19</v>
      </c>
      <c r="B204" t="s">
        <v>10</v>
      </c>
      <c r="C204" s="3">
        <v>43595</v>
      </c>
      <c r="D204" s="3">
        <v>43544</v>
      </c>
      <c r="E204" s="3">
        <v>43610</v>
      </c>
      <c r="G204">
        <v>15139</v>
      </c>
      <c r="H204">
        <v>17561.2</v>
      </c>
      <c r="I204" t="s">
        <v>11</v>
      </c>
    </row>
    <row r="205" spans="1:9" x14ac:dyDescent="0.2">
      <c r="A205" t="s">
        <v>32</v>
      </c>
      <c r="B205" t="s">
        <v>10</v>
      </c>
      <c r="C205" s="3">
        <v>43595</v>
      </c>
      <c r="D205" s="3">
        <v>43595</v>
      </c>
      <c r="E205" s="3">
        <v>43610</v>
      </c>
      <c r="G205">
        <v>15550.2</v>
      </c>
      <c r="H205">
        <v>18038.2</v>
      </c>
      <c r="I205" t="s">
        <v>11</v>
      </c>
    </row>
    <row r="206" spans="1:9" x14ac:dyDescent="0.2">
      <c r="A206" t="s">
        <v>24</v>
      </c>
      <c r="B206" t="s">
        <v>10</v>
      </c>
      <c r="C206" s="3">
        <v>43595</v>
      </c>
      <c r="D206" s="3">
        <v>43595</v>
      </c>
      <c r="E206" s="3">
        <v>43595</v>
      </c>
      <c r="G206">
        <v>500</v>
      </c>
      <c r="H206">
        <v>580</v>
      </c>
      <c r="I206" t="s">
        <v>11</v>
      </c>
    </row>
    <row r="207" spans="1:9" x14ac:dyDescent="0.2">
      <c r="A207" t="s">
        <v>18</v>
      </c>
      <c r="B207" t="s">
        <v>10</v>
      </c>
      <c r="C207" s="3">
        <v>43594</v>
      </c>
      <c r="D207" s="3">
        <v>43592</v>
      </c>
      <c r="E207" s="3">
        <v>43624</v>
      </c>
      <c r="G207">
        <v>31729</v>
      </c>
      <c r="H207">
        <v>36805.599999999999</v>
      </c>
      <c r="I207" t="s">
        <v>11</v>
      </c>
    </row>
    <row r="208" spans="1:9" x14ac:dyDescent="0.2">
      <c r="A208" t="s">
        <v>18</v>
      </c>
      <c r="B208" t="s">
        <v>10</v>
      </c>
      <c r="C208" s="3">
        <v>43594</v>
      </c>
      <c r="D208" s="3">
        <v>43588</v>
      </c>
      <c r="E208" s="3">
        <v>43624</v>
      </c>
      <c r="G208">
        <v>13911</v>
      </c>
      <c r="H208">
        <v>16136.7</v>
      </c>
      <c r="I208" t="s">
        <v>11</v>
      </c>
    </row>
    <row r="209" spans="1:9" x14ac:dyDescent="0.2">
      <c r="A209" t="s">
        <v>18</v>
      </c>
      <c r="B209" t="s">
        <v>10</v>
      </c>
      <c r="C209" s="3">
        <v>43594</v>
      </c>
      <c r="D209" s="3">
        <v>43587</v>
      </c>
      <c r="E209" s="3">
        <v>43624</v>
      </c>
      <c r="G209">
        <v>20754</v>
      </c>
      <c r="H209">
        <v>24074.6</v>
      </c>
      <c r="I209" t="s">
        <v>11</v>
      </c>
    </row>
    <row r="210" spans="1:9" x14ac:dyDescent="0.2">
      <c r="A210" t="s">
        <v>18</v>
      </c>
      <c r="B210" t="s">
        <v>10</v>
      </c>
      <c r="C210" s="3">
        <v>43594</v>
      </c>
      <c r="D210" s="3">
        <v>43585</v>
      </c>
      <c r="E210" s="3">
        <v>43624</v>
      </c>
      <c r="G210">
        <v>14428</v>
      </c>
      <c r="H210">
        <v>16736.400000000001</v>
      </c>
      <c r="I210" t="s">
        <v>11</v>
      </c>
    </row>
    <row r="211" spans="1:9" x14ac:dyDescent="0.2">
      <c r="A211" t="s">
        <v>18</v>
      </c>
      <c r="B211" t="s">
        <v>10</v>
      </c>
      <c r="C211" s="3">
        <v>43594</v>
      </c>
      <c r="D211" s="3">
        <v>43585</v>
      </c>
      <c r="E211" s="3">
        <v>43624</v>
      </c>
      <c r="G211">
        <v>29367</v>
      </c>
      <c r="H211">
        <v>34065.699999999997</v>
      </c>
      <c r="I211" t="s">
        <v>11</v>
      </c>
    </row>
    <row r="212" spans="1:9" x14ac:dyDescent="0.2">
      <c r="A212" t="s">
        <v>18</v>
      </c>
      <c r="B212" t="s">
        <v>10</v>
      </c>
      <c r="C212" s="3">
        <v>43594</v>
      </c>
      <c r="D212" s="3">
        <v>43585</v>
      </c>
      <c r="E212" s="3">
        <v>43624</v>
      </c>
      <c r="G212">
        <v>14932</v>
      </c>
      <c r="H212">
        <v>17321.099999999999</v>
      </c>
      <c r="I212" t="s">
        <v>11</v>
      </c>
    </row>
    <row r="213" spans="1:9" x14ac:dyDescent="0.2">
      <c r="A213" t="s">
        <v>18</v>
      </c>
      <c r="B213" t="s">
        <v>10</v>
      </c>
      <c r="C213" s="3">
        <v>43594</v>
      </c>
      <c r="D213" s="3">
        <v>43580</v>
      </c>
      <c r="E213" s="3">
        <v>43624</v>
      </c>
      <c r="G213">
        <v>14892</v>
      </c>
      <c r="H213">
        <v>17274.7</v>
      </c>
      <c r="I213" t="s">
        <v>11</v>
      </c>
    </row>
    <row r="214" spans="1:9" x14ac:dyDescent="0.2">
      <c r="A214" t="s">
        <v>19</v>
      </c>
      <c r="B214" t="s">
        <v>10</v>
      </c>
      <c r="C214" s="3">
        <v>43594</v>
      </c>
      <c r="D214" s="3">
        <v>43592</v>
      </c>
      <c r="E214" s="3">
        <v>43609</v>
      </c>
      <c r="G214">
        <v>13616</v>
      </c>
      <c r="H214">
        <v>15794.5</v>
      </c>
      <c r="I214" t="s">
        <v>11</v>
      </c>
    </row>
    <row r="215" spans="1:9" x14ac:dyDescent="0.2">
      <c r="A215" t="s">
        <v>19</v>
      </c>
      <c r="B215" t="s">
        <v>10</v>
      </c>
      <c r="C215" s="3">
        <v>43594</v>
      </c>
      <c r="D215" s="3">
        <v>43592</v>
      </c>
      <c r="E215" s="3">
        <v>43609</v>
      </c>
      <c r="G215">
        <v>14151</v>
      </c>
      <c r="H215">
        <v>16415.099999999999</v>
      </c>
      <c r="I215" t="s">
        <v>11</v>
      </c>
    </row>
    <row r="216" spans="1:9" x14ac:dyDescent="0.2">
      <c r="A216" t="s">
        <v>19</v>
      </c>
      <c r="B216" t="s">
        <v>10</v>
      </c>
      <c r="C216" s="3">
        <v>43594</v>
      </c>
      <c r="D216" s="3">
        <v>43594</v>
      </c>
      <c r="E216" s="3">
        <v>43609</v>
      </c>
      <c r="G216">
        <v>13687</v>
      </c>
      <c r="H216">
        <v>15876.9</v>
      </c>
      <c r="I216" t="s">
        <v>11</v>
      </c>
    </row>
    <row r="217" spans="1:9" x14ac:dyDescent="0.2">
      <c r="A217" t="s">
        <v>19</v>
      </c>
      <c r="B217" t="s">
        <v>14</v>
      </c>
      <c r="C217" s="3">
        <v>43594</v>
      </c>
      <c r="D217" s="3">
        <v>43588</v>
      </c>
      <c r="E217" s="3">
        <v>43609</v>
      </c>
      <c r="F217" s="3">
        <v>43594</v>
      </c>
      <c r="G217">
        <v>13687</v>
      </c>
      <c r="H217">
        <v>15876.9</v>
      </c>
      <c r="I217" t="s">
        <v>11</v>
      </c>
    </row>
    <row r="218" spans="1:9" x14ac:dyDescent="0.2">
      <c r="A218" t="s">
        <v>19</v>
      </c>
      <c r="B218" t="s">
        <v>10</v>
      </c>
      <c r="C218" s="3">
        <v>43594</v>
      </c>
      <c r="D218" s="3">
        <v>43588</v>
      </c>
      <c r="E218" s="3">
        <v>43609</v>
      </c>
      <c r="G218">
        <v>8026</v>
      </c>
      <c r="H218">
        <v>9310.16</v>
      </c>
      <c r="I218" t="s">
        <v>11</v>
      </c>
    </row>
    <row r="219" spans="1:9" x14ac:dyDescent="0.2">
      <c r="A219" t="s">
        <v>19</v>
      </c>
      <c r="B219" t="s">
        <v>29</v>
      </c>
      <c r="C219" s="3">
        <v>43594</v>
      </c>
      <c r="D219" s="3">
        <v>43588</v>
      </c>
      <c r="E219" s="3">
        <v>43609</v>
      </c>
      <c r="G219">
        <v>14179</v>
      </c>
      <c r="H219">
        <v>16447.599999999999</v>
      </c>
      <c r="I219" t="s">
        <v>11</v>
      </c>
    </row>
    <row r="220" spans="1:9" x14ac:dyDescent="0.2">
      <c r="A220" t="s">
        <v>19</v>
      </c>
      <c r="B220" t="s">
        <v>10</v>
      </c>
      <c r="C220" s="3">
        <v>43594</v>
      </c>
      <c r="D220" s="3">
        <v>43594</v>
      </c>
      <c r="E220" s="3">
        <v>43609</v>
      </c>
      <c r="G220">
        <v>7176</v>
      </c>
      <c r="H220">
        <v>8324.16</v>
      </c>
      <c r="I220" t="s">
        <v>11</v>
      </c>
    </row>
    <row r="221" spans="1:9" x14ac:dyDescent="0.2">
      <c r="A221" t="s">
        <v>32</v>
      </c>
      <c r="B221" t="s">
        <v>10</v>
      </c>
      <c r="C221" s="3">
        <v>43594</v>
      </c>
      <c r="D221" s="3">
        <v>43594</v>
      </c>
      <c r="E221" s="3">
        <v>43609</v>
      </c>
      <c r="G221">
        <v>11062.2</v>
      </c>
      <c r="H221">
        <v>12832.2</v>
      </c>
      <c r="I221" t="s">
        <v>11</v>
      </c>
    </row>
    <row r="222" spans="1:9" x14ac:dyDescent="0.2">
      <c r="A222" t="s">
        <v>19</v>
      </c>
      <c r="B222" t="s">
        <v>14</v>
      </c>
      <c r="C222" s="3">
        <v>43594</v>
      </c>
      <c r="D222" s="3">
        <v>43587</v>
      </c>
      <c r="E222" s="3">
        <v>43609</v>
      </c>
      <c r="F222" s="3">
        <v>43594</v>
      </c>
      <c r="G222">
        <v>7176</v>
      </c>
      <c r="H222">
        <v>8324.16</v>
      </c>
      <c r="I222" t="s">
        <v>11</v>
      </c>
    </row>
    <row r="223" spans="1:9" x14ac:dyDescent="0.2">
      <c r="A223" t="s">
        <v>32</v>
      </c>
      <c r="B223" t="s">
        <v>10</v>
      </c>
      <c r="C223" s="3">
        <v>43593</v>
      </c>
      <c r="D223" s="3">
        <v>43593</v>
      </c>
      <c r="E223" s="3">
        <v>43608</v>
      </c>
      <c r="G223">
        <v>8920.6</v>
      </c>
      <c r="H223">
        <v>10347.9</v>
      </c>
      <c r="I223" t="s">
        <v>11</v>
      </c>
    </row>
    <row r="224" spans="1:9" x14ac:dyDescent="0.2">
      <c r="A224" t="s">
        <v>32</v>
      </c>
      <c r="B224" t="s">
        <v>10</v>
      </c>
      <c r="C224" s="3">
        <v>43593</v>
      </c>
      <c r="D224" s="3">
        <v>43593</v>
      </c>
      <c r="E224" s="3">
        <v>43608</v>
      </c>
      <c r="G224">
        <v>3758.04</v>
      </c>
      <c r="H224">
        <v>4359.33</v>
      </c>
      <c r="I224" t="s">
        <v>11</v>
      </c>
    </row>
    <row r="225" spans="1:9" x14ac:dyDescent="0.2">
      <c r="A225" t="s">
        <v>20</v>
      </c>
      <c r="B225" t="s">
        <v>10</v>
      </c>
      <c r="C225" s="3">
        <v>43593</v>
      </c>
      <c r="D225" s="3">
        <v>43593</v>
      </c>
      <c r="E225" s="3">
        <v>43638</v>
      </c>
      <c r="G225">
        <v>26211</v>
      </c>
      <c r="H225">
        <v>30404.7</v>
      </c>
      <c r="I225" t="s">
        <v>11</v>
      </c>
    </row>
    <row r="226" spans="1:9" x14ac:dyDescent="0.2">
      <c r="A226" t="s">
        <v>32</v>
      </c>
      <c r="B226" t="s">
        <v>10</v>
      </c>
      <c r="C226" s="3">
        <v>43592</v>
      </c>
      <c r="D226" s="3">
        <v>43592</v>
      </c>
      <c r="E226" s="3">
        <v>43607</v>
      </c>
      <c r="G226">
        <v>3758.04</v>
      </c>
      <c r="H226">
        <v>4359.33</v>
      </c>
      <c r="I226" t="s">
        <v>11</v>
      </c>
    </row>
    <row r="227" spans="1:9" x14ac:dyDescent="0.2">
      <c r="A227" t="s">
        <v>32</v>
      </c>
      <c r="B227" t="s">
        <v>10</v>
      </c>
      <c r="C227" s="3">
        <v>43592</v>
      </c>
      <c r="D227" s="3">
        <v>43592</v>
      </c>
      <c r="E227" s="3">
        <v>43607</v>
      </c>
      <c r="G227">
        <v>2201.6799999999998</v>
      </c>
      <c r="H227">
        <v>2553.9499999999998</v>
      </c>
      <c r="I227" t="s">
        <v>11</v>
      </c>
    </row>
    <row r="228" spans="1:9" x14ac:dyDescent="0.2">
      <c r="A228" t="s">
        <v>32</v>
      </c>
      <c r="B228" t="s">
        <v>10</v>
      </c>
      <c r="C228" s="3">
        <v>43592</v>
      </c>
      <c r="D228" s="3">
        <v>43592</v>
      </c>
      <c r="E228" s="3">
        <v>43607</v>
      </c>
      <c r="G228">
        <v>2676.18</v>
      </c>
      <c r="H228">
        <v>3104.37</v>
      </c>
      <c r="I228" t="s">
        <v>11</v>
      </c>
    </row>
    <row r="229" spans="1:9" x14ac:dyDescent="0.2">
      <c r="A229" t="s">
        <v>18</v>
      </c>
      <c r="B229" t="s">
        <v>10</v>
      </c>
      <c r="C229" s="3">
        <v>43591</v>
      </c>
      <c r="D229" s="3">
        <v>43591</v>
      </c>
      <c r="E229" s="3">
        <v>43621</v>
      </c>
      <c r="G229">
        <v>64328</v>
      </c>
      <c r="H229">
        <v>74620.399999999994</v>
      </c>
      <c r="I229" t="s">
        <v>11</v>
      </c>
    </row>
    <row r="230" spans="1:9" x14ac:dyDescent="0.2">
      <c r="A230" t="s">
        <v>23</v>
      </c>
      <c r="B230" t="s">
        <v>10</v>
      </c>
      <c r="C230" s="3">
        <v>43591</v>
      </c>
      <c r="D230" s="3">
        <v>43591</v>
      </c>
      <c r="E230" s="3">
        <v>43651</v>
      </c>
      <c r="G230">
        <v>2340</v>
      </c>
      <c r="H230">
        <v>2714.4</v>
      </c>
      <c r="I230" t="s">
        <v>11</v>
      </c>
    </row>
    <row r="231" spans="1:9" x14ac:dyDescent="0.2">
      <c r="A231" t="s">
        <v>16</v>
      </c>
      <c r="B231" t="s">
        <v>10</v>
      </c>
      <c r="C231" s="3">
        <v>43588</v>
      </c>
      <c r="D231" s="3">
        <v>43588</v>
      </c>
      <c r="E231" s="3">
        <v>43603</v>
      </c>
      <c r="G231">
        <v>17000</v>
      </c>
      <c r="H231">
        <v>19720</v>
      </c>
      <c r="I231" t="s">
        <v>11</v>
      </c>
    </row>
    <row r="232" spans="1:9" x14ac:dyDescent="0.2">
      <c r="A232" t="s">
        <v>32</v>
      </c>
      <c r="B232" t="s">
        <v>10</v>
      </c>
      <c r="C232" s="3">
        <v>43587</v>
      </c>
      <c r="D232" s="3">
        <v>43587</v>
      </c>
      <c r="E232" s="3">
        <v>43602</v>
      </c>
      <c r="G232">
        <v>9581.0400000000009</v>
      </c>
      <c r="H232">
        <v>11114</v>
      </c>
      <c r="I232" t="s">
        <v>11</v>
      </c>
    </row>
    <row r="233" spans="1:9" x14ac:dyDescent="0.2">
      <c r="A233" t="s">
        <v>21</v>
      </c>
      <c r="B233" t="s">
        <v>10</v>
      </c>
      <c r="C233" s="3">
        <v>43585</v>
      </c>
      <c r="D233" s="3">
        <v>43585</v>
      </c>
      <c r="E233" s="3">
        <v>43592</v>
      </c>
      <c r="G233">
        <v>16980</v>
      </c>
      <c r="H233">
        <v>19696.8</v>
      </c>
      <c r="I233" t="s">
        <v>11</v>
      </c>
    </row>
    <row r="234" spans="1:9" x14ac:dyDescent="0.2">
      <c r="A234" t="s">
        <v>18</v>
      </c>
      <c r="B234" t="s">
        <v>10</v>
      </c>
      <c r="C234" s="3">
        <v>43584</v>
      </c>
      <c r="D234" s="3">
        <v>43584</v>
      </c>
      <c r="E234" s="3">
        <v>43614</v>
      </c>
      <c r="G234">
        <v>1920</v>
      </c>
      <c r="H234">
        <v>2227.1999999999998</v>
      </c>
      <c r="I234" t="s">
        <v>11</v>
      </c>
    </row>
    <row r="235" spans="1:9" x14ac:dyDescent="0.2">
      <c r="A235" t="s">
        <v>32</v>
      </c>
      <c r="B235" t="s">
        <v>10</v>
      </c>
      <c r="C235" s="3">
        <v>43584</v>
      </c>
      <c r="D235" s="3">
        <v>43584</v>
      </c>
      <c r="E235" s="3">
        <v>43599</v>
      </c>
      <c r="G235">
        <v>3798.91</v>
      </c>
      <c r="H235">
        <v>4406.74</v>
      </c>
      <c r="I235" t="s">
        <v>11</v>
      </c>
    </row>
    <row r="236" spans="1:9" x14ac:dyDescent="0.2">
      <c r="A236" t="s">
        <v>18</v>
      </c>
      <c r="B236" t="s">
        <v>10</v>
      </c>
      <c r="C236" s="3">
        <v>43581</v>
      </c>
      <c r="D236" s="3">
        <v>43581</v>
      </c>
      <c r="E236" s="3">
        <v>43611</v>
      </c>
      <c r="G236">
        <v>30033</v>
      </c>
      <c r="H236">
        <v>34838.199999999997</v>
      </c>
      <c r="I236" t="s">
        <v>11</v>
      </c>
    </row>
    <row r="237" spans="1:9" x14ac:dyDescent="0.2">
      <c r="A237" t="s">
        <v>32</v>
      </c>
      <c r="B237" t="s">
        <v>10</v>
      </c>
      <c r="C237" s="3">
        <v>43580</v>
      </c>
      <c r="D237" s="3">
        <v>43580</v>
      </c>
      <c r="E237" s="3">
        <v>43595</v>
      </c>
      <c r="G237">
        <v>14523.3</v>
      </c>
      <c r="H237">
        <v>16847.099999999999</v>
      </c>
      <c r="I237" t="s">
        <v>11</v>
      </c>
    </row>
    <row r="238" spans="1:9" x14ac:dyDescent="0.2">
      <c r="A238" t="s">
        <v>36</v>
      </c>
      <c r="B238" t="s">
        <v>10</v>
      </c>
      <c r="C238" s="3">
        <v>43579</v>
      </c>
      <c r="D238" s="3">
        <v>43579</v>
      </c>
      <c r="E238" s="3">
        <v>43594</v>
      </c>
      <c r="G238">
        <v>6940</v>
      </c>
      <c r="H238">
        <v>8050.4</v>
      </c>
      <c r="I238" t="s">
        <v>11</v>
      </c>
    </row>
    <row r="239" spans="1:9" x14ac:dyDescent="0.2">
      <c r="A239" t="s">
        <v>16</v>
      </c>
      <c r="B239" t="s">
        <v>10</v>
      </c>
      <c r="C239" s="3">
        <v>43579</v>
      </c>
      <c r="D239" s="3">
        <v>43579</v>
      </c>
      <c r="E239" s="3">
        <v>43594</v>
      </c>
      <c r="G239">
        <v>44984</v>
      </c>
      <c r="H239">
        <v>52181.4</v>
      </c>
      <c r="I239" t="s">
        <v>11</v>
      </c>
    </row>
    <row r="240" spans="1:9" x14ac:dyDescent="0.2">
      <c r="A240" t="s">
        <v>18</v>
      </c>
      <c r="B240" t="s">
        <v>10</v>
      </c>
      <c r="C240" s="3">
        <v>43579</v>
      </c>
      <c r="D240" s="3">
        <v>43579</v>
      </c>
      <c r="E240" s="3">
        <v>43609</v>
      </c>
      <c r="G240">
        <v>26751</v>
      </c>
      <c r="H240">
        <v>31031.1</v>
      </c>
      <c r="I240" t="s">
        <v>11</v>
      </c>
    </row>
    <row r="241" spans="1:9" x14ac:dyDescent="0.2">
      <c r="A241" t="s">
        <v>18</v>
      </c>
      <c r="B241" t="s">
        <v>14</v>
      </c>
      <c r="C241" s="3">
        <v>43579</v>
      </c>
      <c r="D241" s="3">
        <v>43579</v>
      </c>
      <c r="E241" s="3">
        <v>43609</v>
      </c>
      <c r="F241" s="3">
        <v>43579</v>
      </c>
      <c r="G241">
        <v>26751</v>
      </c>
      <c r="H241">
        <v>31031.1</v>
      </c>
      <c r="I241" t="s">
        <v>11</v>
      </c>
    </row>
    <row r="242" spans="1:9" x14ac:dyDescent="0.2">
      <c r="A242" t="s">
        <v>19</v>
      </c>
      <c r="B242" t="s">
        <v>10</v>
      </c>
      <c r="C242" s="3">
        <v>43578</v>
      </c>
      <c r="D242" s="3">
        <v>43578</v>
      </c>
      <c r="E242" s="3">
        <v>43593</v>
      </c>
      <c r="G242">
        <v>400</v>
      </c>
      <c r="H242">
        <v>464</v>
      </c>
      <c r="I242" t="s">
        <v>11</v>
      </c>
    </row>
    <row r="243" spans="1:9" x14ac:dyDescent="0.2">
      <c r="A243" t="s">
        <v>25</v>
      </c>
      <c r="B243" t="s">
        <v>10</v>
      </c>
      <c r="C243" s="3">
        <v>43578</v>
      </c>
      <c r="D243" s="3">
        <v>43578</v>
      </c>
      <c r="E243" s="3">
        <v>43608</v>
      </c>
      <c r="G243">
        <v>2604.4</v>
      </c>
      <c r="H243">
        <v>3021.1</v>
      </c>
      <c r="I243" t="s">
        <v>11</v>
      </c>
    </row>
    <row r="244" spans="1:9" x14ac:dyDescent="0.2">
      <c r="A244" t="s">
        <v>32</v>
      </c>
      <c r="B244" t="s">
        <v>10</v>
      </c>
      <c r="C244" s="3">
        <v>43578</v>
      </c>
      <c r="D244" s="3">
        <v>43578</v>
      </c>
      <c r="E244" s="3">
        <v>43593</v>
      </c>
      <c r="G244">
        <v>12422.1</v>
      </c>
      <c r="H244">
        <v>14409.6</v>
      </c>
      <c r="I244" t="s">
        <v>11</v>
      </c>
    </row>
    <row r="245" spans="1:9" x14ac:dyDescent="0.2">
      <c r="A245" t="s">
        <v>32</v>
      </c>
      <c r="B245" t="s">
        <v>10</v>
      </c>
      <c r="C245" s="3">
        <v>43578</v>
      </c>
      <c r="D245" s="3">
        <v>43578</v>
      </c>
      <c r="E245" s="3">
        <v>43593</v>
      </c>
      <c r="G245">
        <v>15230.8</v>
      </c>
      <c r="H245">
        <v>17667.7</v>
      </c>
      <c r="I245" t="s">
        <v>11</v>
      </c>
    </row>
    <row r="246" spans="1:9" x14ac:dyDescent="0.2">
      <c r="A246" t="s">
        <v>32</v>
      </c>
      <c r="B246" t="s">
        <v>10</v>
      </c>
      <c r="C246" s="3">
        <v>43578</v>
      </c>
      <c r="D246" s="3">
        <v>43578</v>
      </c>
      <c r="E246" s="3">
        <v>43593</v>
      </c>
      <c r="G246">
        <v>22488</v>
      </c>
      <c r="H246">
        <v>26086.1</v>
      </c>
      <c r="I246" t="s">
        <v>11</v>
      </c>
    </row>
    <row r="247" spans="1:9" x14ac:dyDescent="0.2">
      <c r="A247" t="s">
        <v>18</v>
      </c>
      <c r="B247" t="s">
        <v>10</v>
      </c>
      <c r="C247" s="3">
        <v>43578</v>
      </c>
      <c r="D247" s="3">
        <v>43566</v>
      </c>
      <c r="E247" s="3">
        <v>43608</v>
      </c>
      <c r="G247">
        <v>20187</v>
      </c>
      <c r="H247">
        <v>23416.9</v>
      </c>
      <c r="I247" t="s">
        <v>11</v>
      </c>
    </row>
    <row r="248" spans="1:9" x14ac:dyDescent="0.2">
      <c r="A248" t="s">
        <v>18</v>
      </c>
      <c r="B248" t="s">
        <v>10</v>
      </c>
      <c r="C248" s="3">
        <v>43578</v>
      </c>
      <c r="D248" s="3">
        <v>43565</v>
      </c>
      <c r="E248" s="3">
        <v>43608</v>
      </c>
      <c r="G248">
        <v>20277</v>
      </c>
      <c r="H248">
        <v>23521.3</v>
      </c>
      <c r="I248" t="s">
        <v>11</v>
      </c>
    </row>
    <row r="249" spans="1:9" x14ac:dyDescent="0.2">
      <c r="A249" t="s">
        <v>18</v>
      </c>
      <c r="B249" t="s">
        <v>10</v>
      </c>
      <c r="C249" s="3">
        <v>43578</v>
      </c>
      <c r="D249" s="3">
        <v>43564</v>
      </c>
      <c r="E249" s="3">
        <v>43608</v>
      </c>
      <c r="G249">
        <v>14838</v>
      </c>
      <c r="H249">
        <v>17212</v>
      </c>
      <c r="I249" t="s">
        <v>11</v>
      </c>
    </row>
    <row r="250" spans="1:9" x14ac:dyDescent="0.2">
      <c r="A250" t="s">
        <v>18</v>
      </c>
      <c r="B250" t="s">
        <v>10</v>
      </c>
      <c r="C250" s="3">
        <v>43578</v>
      </c>
      <c r="D250" s="3">
        <v>43563</v>
      </c>
      <c r="E250" s="3">
        <v>43608</v>
      </c>
      <c r="G250">
        <v>23051</v>
      </c>
      <c r="H250">
        <v>26739.1</v>
      </c>
      <c r="I250" t="s">
        <v>11</v>
      </c>
    </row>
    <row r="251" spans="1:9" x14ac:dyDescent="0.2">
      <c r="A251" t="s">
        <v>18</v>
      </c>
      <c r="B251" t="s">
        <v>10</v>
      </c>
      <c r="C251" s="3">
        <v>43578</v>
      </c>
      <c r="D251" s="3">
        <v>43558</v>
      </c>
      <c r="E251" s="3">
        <v>43608</v>
      </c>
      <c r="G251">
        <v>36700</v>
      </c>
      <c r="H251">
        <v>42572</v>
      </c>
      <c r="I251" t="s">
        <v>11</v>
      </c>
    </row>
    <row r="252" spans="1:9" x14ac:dyDescent="0.2">
      <c r="A252" t="s">
        <v>18</v>
      </c>
      <c r="B252" t="s">
        <v>10</v>
      </c>
      <c r="C252" s="3">
        <v>43578</v>
      </c>
      <c r="D252" s="3">
        <v>43557</v>
      </c>
      <c r="E252" s="3">
        <v>43608</v>
      </c>
      <c r="G252">
        <v>20830</v>
      </c>
      <c r="H252">
        <v>24162.799999999999</v>
      </c>
      <c r="I252" t="s">
        <v>11</v>
      </c>
    </row>
    <row r="253" spans="1:9" x14ac:dyDescent="0.2">
      <c r="A253" t="s">
        <v>26</v>
      </c>
      <c r="B253" t="s">
        <v>10</v>
      </c>
      <c r="C253" s="3">
        <v>43578</v>
      </c>
      <c r="D253" s="3">
        <v>43578</v>
      </c>
      <c r="E253" s="3">
        <v>43585</v>
      </c>
      <c r="G253">
        <v>2954</v>
      </c>
      <c r="H253">
        <v>3426.64</v>
      </c>
      <c r="I253" t="s">
        <v>11</v>
      </c>
    </row>
    <row r="254" spans="1:9" x14ac:dyDescent="0.2">
      <c r="A254" t="s">
        <v>32</v>
      </c>
      <c r="B254" t="s">
        <v>10</v>
      </c>
      <c r="C254" s="3">
        <v>43577</v>
      </c>
      <c r="D254" s="3">
        <v>43577</v>
      </c>
      <c r="E254" s="3">
        <v>43592</v>
      </c>
      <c r="G254">
        <v>3183.6</v>
      </c>
      <c r="H254">
        <v>3692.98</v>
      </c>
      <c r="I254" t="s">
        <v>11</v>
      </c>
    </row>
    <row r="255" spans="1:9" x14ac:dyDescent="0.2">
      <c r="A255" t="s">
        <v>32</v>
      </c>
      <c r="B255" t="s">
        <v>10</v>
      </c>
      <c r="C255" s="3">
        <v>43577</v>
      </c>
      <c r="D255" s="3">
        <v>43577</v>
      </c>
      <c r="E255" s="3">
        <v>43592</v>
      </c>
      <c r="G255">
        <v>3183.6</v>
      </c>
      <c r="H255">
        <v>3692.98</v>
      </c>
      <c r="I255" t="s">
        <v>11</v>
      </c>
    </row>
    <row r="256" spans="1:9" x14ac:dyDescent="0.2">
      <c r="A256" t="s">
        <v>32</v>
      </c>
      <c r="B256" t="s">
        <v>10</v>
      </c>
      <c r="C256" s="3">
        <v>43577</v>
      </c>
      <c r="D256" s="3">
        <v>43577</v>
      </c>
      <c r="E256" s="3">
        <v>43592</v>
      </c>
      <c r="G256">
        <v>3752.1</v>
      </c>
      <c r="H256">
        <v>4352.4399999999996</v>
      </c>
      <c r="I256" t="s">
        <v>11</v>
      </c>
    </row>
    <row r="257" spans="1:9" x14ac:dyDescent="0.2">
      <c r="A257" t="s">
        <v>32</v>
      </c>
      <c r="B257" t="s">
        <v>10</v>
      </c>
      <c r="C257" s="3">
        <v>43577</v>
      </c>
      <c r="D257" s="3">
        <v>43577</v>
      </c>
      <c r="E257" s="3">
        <v>43592</v>
      </c>
      <c r="G257">
        <v>2671.95</v>
      </c>
      <c r="H257">
        <v>3099.46</v>
      </c>
      <c r="I257" t="s">
        <v>11</v>
      </c>
    </row>
    <row r="258" spans="1:9" x14ac:dyDescent="0.2">
      <c r="A258" t="s">
        <v>32</v>
      </c>
      <c r="B258" t="s">
        <v>10</v>
      </c>
      <c r="C258" s="3">
        <v>43577</v>
      </c>
      <c r="D258" s="3">
        <v>43577</v>
      </c>
      <c r="E258" s="3">
        <v>43592</v>
      </c>
      <c r="G258">
        <v>2671.95</v>
      </c>
      <c r="H258">
        <v>3099.46</v>
      </c>
      <c r="I258" t="s">
        <v>11</v>
      </c>
    </row>
    <row r="259" spans="1:9" x14ac:dyDescent="0.2">
      <c r="A259" t="s">
        <v>25</v>
      </c>
      <c r="B259" t="s">
        <v>10</v>
      </c>
      <c r="C259" s="3">
        <v>43577</v>
      </c>
      <c r="D259" s="3">
        <v>43577</v>
      </c>
      <c r="E259" s="3">
        <v>43607</v>
      </c>
      <c r="G259">
        <v>1302.2</v>
      </c>
      <c r="H259">
        <v>1510.55</v>
      </c>
      <c r="I259" t="s">
        <v>11</v>
      </c>
    </row>
    <row r="260" spans="1:9" x14ac:dyDescent="0.2">
      <c r="A260" t="s">
        <v>18</v>
      </c>
      <c r="B260" t="s">
        <v>10</v>
      </c>
      <c r="C260" s="3">
        <v>43577</v>
      </c>
      <c r="D260" s="3">
        <v>43557</v>
      </c>
      <c r="E260" s="3">
        <v>43607</v>
      </c>
      <c r="G260">
        <v>6711</v>
      </c>
      <c r="H260">
        <v>7784.76</v>
      </c>
      <c r="I260" t="s">
        <v>11</v>
      </c>
    </row>
    <row r="261" spans="1:9" x14ac:dyDescent="0.2">
      <c r="A261" t="s">
        <v>20</v>
      </c>
      <c r="B261" t="s">
        <v>10</v>
      </c>
      <c r="C261" s="3">
        <v>43577</v>
      </c>
      <c r="D261" s="3">
        <v>43577</v>
      </c>
      <c r="E261" s="3">
        <v>43622</v>
      </c>
      <c r="G261">
        <v>40701</v>
      </c>
      <c r="H261">
        <v>47213.1</v>
      </c>
      <c r="I261" t="s">
        <v>11</v>
      </c>
    </row>
    <row r="262" spans="1:9" x14ac:dyDescent="0.2">
      <c r="A262" t="s">
        <v>18</v>
      </c>
      <c r="B262" t="s">
        <v>10</v>
      </c>
      <c r="C262" s="3">
        <v>43577</v>
      </c>
      <c r="D262" s="3">
        <v>43577</v>
      </c>
      <c r="E262" s="3">
        <v>43607</v>
      </c>
      <c r="G262">
        <v>4133</v>
      </c>
      <c r="H262">
        <v>4794.28</v>
      </c>
      <c r="I262" t="s">
        <v>11</v>
      </c>
    </row>
    <row r="263" spans="1:9" x14ac:dyDescent="0.2">
      <c r="A263" t="s">
        <v>25</v>
      </c>
      <c r="B263" t="s">
        <v>10</v>
      </c>
      <c r="C263" s="3">
        <v>43572</v>
      </c>
      <c r="D263" s="3">
        <v>43572</v>
      </c>
      <c r="E263" s="3">
        <v>43602</v>
      </c>
      <c r="G263">
        <v>1302.2</v>
      </c>
      <c r="H263">
        <v>1510.55</v>
      </c>
      <c r="I263" t="s">
        <v>11</v>
      </c>
    </row>
    <row r="264" spans="1:9" x14ac:dyDescent="0.2">
      <c r="A264" t="s">
        <v>26</v>
      </c>
      <c r="B264" t="s">
        <v>10</v>
      </c>
      <c r="C264" s="3">
        <v>43572</v>
      </c>
      <c r="D264" s="3">
        <v>43572</v>
      </c>
      <c r="E264" s="3">
        <v>43579</v>
      </c>
      <c r="G264">
        <v>1477</v>
      </c>
      <c r="H264">
        <v>1713.32</v>
      </c>
      <c r="I264" t="s">
        <v>11</v>
      </c>
    </row>
    <row r="265" spans="1:9" x14ac:dyDescent="0.2">
      <c r="A265" t="s">
        <v>26</v>
      </c>
      <c r="B265" t="s">
        <v>14</v>
      </c>
      <c r="C265" s="3">
        <v>43572</v>
      </c>
      <c r="D265" s="3">
        <v>43572</v>
      </c>
      <c r="E265" s="3">
        <v>43579</v>
      </c>
      <c r="F265" s="3">
        <v>43572</v>
      </c>
      <c r="G265">
        <v>1477</v>
      </c>
      <c r="H265">
        <v>1713.32</v>
      </c>
      <c r="I265" t="s">
        <v>11</v>
      </c>
    </row>
    <row r="266" spans="1:9" x14ac:dyDescent="0.2">
      <c r="A266" t="s">
        <v>32</v>
      </c>
      <c r="B266" t="s">
        <v>10</v>
      </c>
      <c r="C266" s="3">
        <v>43572</v>
      </c>
      <c r="D266" s="3">
        <v>43572</v>
      </c>
      <c r="E266" s="3">
        <v>43587</v>
      </c>
      <c r="G266">
        <v>8369.4</v>
      </c>
      <c r="H266">
        <v>9708.5</v>
      </c>
      <c r="I266" t="s">
        <v>11</v>
      </c>
    </row>
    <row r="267" spans="1:9" x14ac:dyDescent="0.2">
      <c r="A267" t="s">
        <v>16</v>
      </c>
      <c r="B267" t="s">
        <v>14</v>
      </c>
      <c r="C267" s="3">
        <v>43570</v>
      </c>
      <c r="D267" s="3">
        <v>43570</v>
      </c>
      <c r="E267" s="3">
        <v>43585</v>
      </c>
      <c r="F267" s="3">
        <v>43580</v>
      </c>
      <c r="G267">
        <v>17000</v>
      </c>
      <c r="H267">
        <v>19720</v>
      </c>
      <c r="I267" t="s">
        <v>11</v>
      </c>
    </row>
    <row r="268" spans="1:9" x14ac:dyDescent="0.2">
      <c r="A268" t="s">
        <v>16</v>
      </c>
      <c r="B268" t="s">
        <v>14</v>
      </c>
      <c r="C268" s="3">
        <v>43570</v>
      </c>
      <c r="D268" s="3">
        <v>43570</v>
      </c>
      <c r="E268" s="3">
        <v>43585</v>
      </c>
      <c r="F268" s="3">
        <v>43580</v>
      </c>
      <c r="G268">
        <v>27984</v>
      </c>
      <c r="H268">
        <v>32461.4</v>
      </c>
      <c r="I268" t="s">
        <v>11</v>
      </c>
    </row>
    <row r="269" spans="1:9" x14ac:dyDescent="0.2">
      <c r="A269" t="s">
        <v>19</v>
      </c>
      <c r="B269" t="s">
        <v>10</v>
      </c>
      <c r="C269" s="3">
        <v>43567</v>
      </c>
      <c r="D269" s="3">
        <v>43567</v>
      </c>
      <c r="E269" s="3">
        <v>43582</v>
      </c>
      <c r="G269">
        <v>7517</v>
      </c>
      <c r="H269">
        <v>8719.7199999999993</v>
      </c>
      <c r="I269" t="s">
        <v>11</v>
      </c>
    </row>
    <row r="270" spans="1:9" x14ac:dyDescent="0.2">
      <c r="A270" t="s">
        <v>19</v>
      </c>
      <c r="B270" t="s">
        <v>10</v>
      </c>
      <c r="C270" s="3">
        <v>43567</v>
      </c>
      <c r="D270" s="3">
        <v>43567</v>
      </c>
      <c r="E270" s="3">
        <v>43582</v>
      </c>
      <c r="G270">
        <v>6161</v>
      </c>
      <c r="H270">
        <v>7146.76</v>
      </c>
      <c r="I270" t="s">
        <v>11</v>
      </c>
    </row>
    <row r="271" spans="1:9" x14ac:dyDescent="0.2">
      <c r="A271" t="s">
        <v>19</v>
      </c>
      <c r="B271" t="s">
        <v>10</v>
      </c>
      <c r="C271" s="3">
        <v>43567</v>
      </c>
      <c r="D271" s="3">
        <v>43567</v>
      </c>
      <c r="E271" s="3">
        <v>43582</v>
      </c>
      <c r="G271">
        <v>7499</v>
      </c>
      <c r="H271">
        <v>8698.84</v>
      </c>
      <c r="I271" t="s">
        <v>11</v>
      </c>
    </row>
    <row r="272" spans="1:9" x14ac:dyDescent="0.2">
      <c r="A272" t="s">
        <v>19</v>
      </c>
      <c r="B272" t="s">
        <v>10</v>
      </c>
      <c r="C272" s="3">
        <v>43567</v>
      </c>
      <c r="D272" s="3">
        <v>43580</v>
      </c>
      <c r="E272" s="3">
        <v>43582</v>
      </c>
      <c r="G272">
        <v>7167</v>
      </c>
      <c r="H272">
        <v>8313.7199999999993</v>
      </c>
      <c r="I272" t="s">
        <v>11</v>
      </c>
    </row>
    <row r="273" spans="1:9" x14ac:dyDescent="0.2">
      <c r="A273" t="s">
        <v>19</v>
      </c>
      <c r="B273" t="s">
        <v>10</v>
      </c>
      <c r="C273" s="3">
        <v>43567</v>
      </c>
      <c r="D273" s="3">
        <v>43565</v>
      </c>
      <c r="E273" s="3">
        <v>43582</v>
      </c>
      <c r="G273">
        <v>28392</v>
      </c>
      <c r="H273">
        <v>32934.699999999997</v>
      </c>
      <c r="I273" t="s">
        <v>11</v>
      </c>
    </row>
    <row r="274" spans="1:9" x14ac:dyDescent="0.2">
      <c r="A274" t="s">
        <v>37</v>
      </c>
      <c r="B274" t="s">
        <v>10</v>
      </c>
      <c r="C274" s="3">
        <v>43567</v>
      </c>
      <c r="D274" s="3">
        <v>43567</v>
      </c>
      <c r="E274" s="3">
        <v>43627</v>
      </c>
      <c r="G274">
        <v>17857</v>
      </c>
      <c r="H274">
        <v>20714.099999999999</v>
      </c>
      <c r="I274" t="s">
        <v>11</v>
      </c>
    </row>
    <row r="275" spans="1:9" x14ac:dyDescent="0.2">
      <c r="A275" t="s">
        <v>20</v>
      </c>
      <c r="B275" t="s">
        <v>10</v>
      </c>
      <c r="C275" s="3">
        <v>43567</v>
      </c>
      <c r="D275" s="3">
        <v>43567</v>
      </c>
      <c r="E275" s="3">
        <v>43612</v>
      </c>
      <c r="G275">
        <v>50336</v>
      </c>
      <c r="H275">
        <v>58389.7</v>
      </c>
      <c r="I275" t="s">
        <v>11</v>
      </c>
    </row>
    <row r="276" spans="1:9" x14ac:dyDescent="0.2">
      <c r="A276" t="s">
        <v>32</v>
      </c>
      <c r="B276" t="s">
        <v>10</v>
      </c>
      <c r="C276" s="3">
        <v>43567</v>
      </c>
      <c r="D276" s="3">
        <v>43567</v>
      </c>
      <c r="E276" s="3">
        <v>43582</v>
      </c>
      <c r="G276">
        <v>20874.7</v>
      </c>
      <c r="H276">
        <v>24214.6</v>
      </c>
      <c r="I276" t="s">
        <v>11</v>
      </c>
    </row>
    <row r="277" spans="1:9" x14ac:dyDescent="0.2">
      <c r="A277" t="s">
        <v>19</v>
      </c>
      <c r="B277" t="s">
        <v>14</v>
      </c>
      <c r="C277" s="3">
        <v>43567</v>
      </c>
      <c r="D277" s="3">
        <v>43565</v>
      </c>
      <c r="E277" s="3">
        <v>43582</v>
      </c>
      <c r="F277" s="3">
        <v>43567</v>
      </c>
      <c r="G277">
        <v>28392</v>
      </c>
      <c r="H277">
        <v>32934.699999999997</v>
      </c>
      <c r="I277" t="s">
        <v>38</v>
      </c>
    </row>
    <row r="278" spans="1:9" x14ac:dyDescent="0.2">
      <c r="A278" t="s">
        <v>37</v>
      </c>
      <c r="B278" t="s">
        <v>14</v>
      </c>
      <c r="C278" s="3">
        <v>43567</v>
      </c>
      <c r="D278" s="3">
        <v>43567</v>
      </c>
      <c r="E278" s="3">
        <v>43627</v>
      </c>
      <c r="F278" s="3">
        <v>43567</v>
      </c>
      <c r="G278">
        <v>17857</v>
      </c>
      <c r="H278">
        <v>20714.099999999999</v>
      </c>
      <c r="I278" t="s">
        <v>38</v>
      </c>
    </row>
    <row r="279" spans="1:9" x14ac:dyDescent="0.2">
      <c r="A279" t="s">
        <v>32</v>
      </c>
      <c r="B279" t="s">
        <v>10</v>
      </c>
      <c r="C279" s="3">
        <v>43566</v>
      </c>
      <c r="D279" s="3">
        <v>43566</v>
      </c>
      <c r="E279" s="3">
        <v>43581</v>
      </c>
      <c r="G279">
        <v>25050</v>
      </c>
      <c r="H279">
        <v>29058</v>
      </c>
      <c r="I279" t="s">
        <v>11</v>
      </c>
    </row>
    <row r="280" spans="1:9" x14ac:dyDescent="0.2">
      <c r="A280" t="s">
        <v>20</v>
      </c>
      <c r="B280" t="s">
        <v>10</v>
      </c>
      <c r="C280" s="3">
        <v>43565</v>
      </c>
      <c r="D280" s="3">
        <v>43565</v>
      </c>
      <c r="E280" s="3">
        <v>43610</v>
      </c>
      <c r="G280">
        <v>22500</v>
      </c>
      <c r="H280">
        <v>26100</v>
      </c>
      <c r="I280" t="s">
        <v>11</v>
      </c>
    </row>
    <row r="281" spans="1:9" x14ac:dyDescent="0.2">
      <c r="A281" t="s">
        <v>18</v>
      </c>
      <c r="B281" t="s">
        <v>10</v>
      </c>
      <c r="C281" s="3">
        <v>43565</v>
      </c>
      <c r="D281" s="3">
        <v>43565</v>
      </c>
      <c r="E281" s="3">
        <v>43595</v>
      </c>
      <c r="G281">
        <v>8266</v>
      </c>
      <c r="H281">
        <v>9588.56</v>
      </c>
      <c r="I281" t="s">
        <v>11</v>
      </c>
    </row>
    <row r="282" spans="1:9" x14ac:dyDescent="0.2">
      <c r="A282" t="s">
        <v>32</v>
      </c>
      <c r="B282" t="s">
        <v>10</v>
      </c>
      <c r="C282" s="3">
        <v>43565</v>
      </c>
      <c r="D282" s="3">
        <v>43565</v>
      </c>
      <c r="E282" s="3">
        <v>43580</v>
      </c>
      <c r="G282">
        <v>38243.5</v>
      </c>
      <c r="H282">
        <v>44362.400000000001</v>
      </c>
      <c r="I282" t="s">
        <v>11</v>
      </c>
    </row>
    <row r="283" spans="1:9" x14ac:dyDescent="0.2">
      <c r="A283" t="s">
        <v>32</v>
      </c>
      <c r="B283" t="s">
        <v>10</v>
      </c>
      <c r="C283" s="3">
        <v>43563</v>
      </c>
      <c r="D283" s="3">
        <v>43563</v>
      </c>
      <c r="E283" s="3">
        <v>43578</v>
      </c>
      <c r="G283">
        <v>18479.8</v>
      </c>
      <c r="H283">
        <v>21436.6</v>
      </c>
      <c r="I283" t="s">
        <v>11</v>
      </c>
    </row>
    <row r="284" spans="1:9" x14ac:dyDescent="0.2">
      <c r="A284" t="s">
        <v>25</v>
      </c>
      <c r="B284" t="s">
        <v>10</v>
      </c>
      <c r="C284" s="3">
        <v>43560</v>
      </c>
      <c r="D284" s="3">
        <v>43560</v>
      </c>
      <c r="E284" s="3">
        <v>43590</v>
      </c>
      <c r="G284">
        <v>11050</v>
      </c>
      <c r="H284">
        <v>12818</v>
      </c>
      <c r="I284" t="s">
        <v>11</v>
      </c>
    </row>
    <row r="285" spans="1:9" x14ac:dyDescent="0.2">
      <c r="A285" t="s">
        <v>18</v>
      </c>
      <c r="B285" t="s">
        <v>10</v>
      </c>
      <c r="C285" s="3">
        <v>43559</v>
      </c>
      <c r="D285" s="3">
        <v>43559</v>
      </c>
      <c r="E285" s="3">
        <v>43589</v>
      </c>
      <c r="G285">
        <v>5382</v>
      </c>
      <c r="H285">
        <v>6243.12</v>
      </c>
      <c r="I285" t="s">
        <v>11</v>
      </c>
    </row>
    <row r="286" spans="1:9" x14ac:dyDescent="0.2">
      <c r="A286" t="s">
        <v>19</v>
      </c>
      <c r="B286" t="s">
        <v>10</v>
      </c>
      <c r="C286" s="3">
        <v>43557</v>
      </c>
      <c r="D286" s="3">
        <v>43552</v>
      </c>
      <c r="E286" s="3">
        <v>43572</v>
      </c>
      <c r="G286">
        <v>7499</v>
      </c>
      <c r="H286">
        <v>8698.84</v>
      </c>
      <c r="I286" t="s">
        <v>11</v>
      </c>
    </row>
    <row r="287" spans="1:9" x14ac:dyDescent="0.2">
      <c r="A287" t="s">
        <v>19</v>
      </c>
      <c r="B287" t="s">
        <v>10</v>
      </c>
      <c r="C287" s="3">
        <v>43557</v>
      </c>
      <c r="D287" s="3">
        <v>43552</v>
      </c>
      <c r="E287" s="3">
        <v>43572</v>
      </c>
      <c r="G287">
        <v>14112</v>
      </c>
      <c r="H287">
        <v>16369.9</v>
      </c>
      <c r="I287" t="s">
        <v>11</v>
      </c>
    </row>
    <row r="288" spans="1:9" x14ac:dyDescent="0.2">
      <c r="A288" t="s">
        <v>19</v>
      </c>
      <c r="B288" t="s">
        <v>10</v>
      </c>
      <c r="C288" s="3">
        <v>43557</v>
      </c>
      <c r="D288" s="3">
        <v>43552</v>
      </c>
      <c r="E288" s="3">
        <v>43572</v>
      </c>
      <c r="G288">
        <v>13762</v>
      </c>
      <c r="H288">
        <v>15963.9</v>
      </c>
      <c r="I288" t="s">
        <v>11</v>
      </c>
    </row>
    <row r="289" spans="1:9" x14ac:dyDescent="0.2">
      <c r="A289" t="s">
        <v>19</v>
      </c>
      <c r="B289" t="s">
        <v>10</v>
      </c>
      <c r="C289" s="3">
        <v>43557</v>
      </c>
      <c r="D289" s="3">
        <v>43552</v>
      </c>
      <c r="E289" s="3">
        <v>43572</v>
      </c>
      <c r="G289">
        <v>15668</v>
      </c>
      <c r="H289">
        <v>18174.8</v>
      </c>
      <c r="I289" t="s">
        <v>11</v>
      </c>
    </row>
    <row r="290" spans="1:9" x14ac:dyDescent="0.2">
      <c r="A290" t="s">
        <v>19</v>
      </c>
      <c r="B290" t="s">
        <v>10</v>
      </c>
      <c r="C290" s="3">
        <v>43557</v>
      </c>
      <c r="D290" s="3">
        <v>43550</v>
      </c>
      <c r="E290" s="3">
        <v>43572</v>
      </c>
      <c r="G290">
        <v>7177</v>
      </c>
      <c r="H290">
        <v>8325.32</v>
      </c>
      <c r="I290" t="s">
        <v>11</v>
      </c>
    </row>
    <row r="291" spans="1:9" x14ac:dyDescent="0.2">
      <c r="A291" t="s">
        <v>19</v>
      </c>
      <c r="B291" t="s">
        <v>10</v>
      </c>
      <c r="C291" s="3">
        <v>43557</v>
      </c>
      <c r="D291" s="3">
        <v>43557</v>
      </c>
      <c r="E291" s="3">
        <v>43572</v>
      </c>
      <c r="G291">
        <v>7649</v>
      </c>
      <c r="H291">
        <v>8872.84</v>
      </c>
      <c r="I291" t="s">
        <v>11</v>
      </c>
    </row>
    <row r="292" spans="1:9" x14ac:dyDescent="0.2">
      <c r="A292" t="s">
        <v>19</v>
      </c>
      <c r="B292" t="s">
        <v>10</v>
      </c>
      <c r="C292" s="3">
        <v>43557</v>
      </c>
      <c r="D292" s="3">
        <v>43557</v>
      </c>
      <c r="E292" s="3">
        <v>43572</v>
      </c>
      <c r="G292">
        <v>7499</v>
      </c>
      <c r="H292">
        <v>8698.84</v>
      </c>
      <c r="I292" t="s">
        <v>11</v>
      </c>
    </row>
    <row r="293" spans="1:9" x14ac:dyDescent="0.2">
      <c r="A293" t="s">
        <v>19</v>
      </c>
      <c r="B293" t="s">
        <v>10</v>
      </c>
      <c r="C293" s="3">
        <v>43557</v>
      </c>
      <c r="D293" s="3">
        <v>43557</v>
      </c>
      <c r="E293" s="3">
        <v>43572</v>
      </c>
      <c r="G293">
        <v>7158</v>
      </c>
      <c r="H293">
        <v>8303.2800000000007</v>
      </c>
      <c r="I293" t="s">
        <v>11</v>
      </c>
    </row>
    <row r="294" spans="1:9" x14ac:dyDescent="0.2">
      <c r="A294" t="s">
        <v>18</v>
      </c>
      <c r="B294" t="s">
        <v>10</v>
      </c>
      <c r="C294" s="3">
        <v>43556</v>
      </c>
      <c r="D294" s="3">
        <v>43556</v>
      </c>
      <c r="E294" s="3">
        <v>43586</v>
      </c>
      <c r="G294">
        <v>7061</v>
      </c>
      <c r="H294">
        <v>8190.76</v>
      </c>
      <c r="I294" t="s">
        <v>11</v>
      </c>
    </row>
    <row r="295" spans="1:9" x14ac:dyDescent="0.2">
      <c r="A295" t="s">
        <v>18</v>
      </c>
      <c r="B295" t="s">
        <v>10</v>
      </c>
      <c r="C295" s="3">
        <v>43556</v>
      </c>
      <c r="D295" s="3">
        <v>43556</v>
      </c>
      <c r="E295" s="3">
        <v>43586</v>
      </c>
      <c r="G295">
        <v>7726</v>
      </c>
      <c r="H295">
        <v>8962.16</v>
      </c>
      <c r="I295" t="s">
        <v>11</v>
      </c>
    </row>
    <row r="296" spans="1:9" x14ac:dyDescent="0.2">
      <c r="A296" t="s">
        <v>18</v>
      </c>
      <c r="B296" t="s">
        <v>10</v>
      </c>
      <c r="C296" s="3">
        <v>43556</v>
      </c>
      <c r="D296" s="3">
        <v>43556</v>
      </c>
      <c r="E296" s="3">
        <v>43586</v>
      </c>
      <c r="G296">
        <v>6711</v>
      </c>
      <c r="H296">
        <v>7784.76</v>
      </c>
      <c r="I296" t="s">
        <v>11</v>
      </c>
    </row>
    <row r="297" spans="1:9" x14ac:dyDescent="0.2">
      <c r="A297" t="s">
        <v>18</v>
      </c>
      <c r="B297" t="s">
        <v>10</v>
      </c>
      <c r="C297" s="3">
        <v>43556</v>
      </c>
      <c r="D297" s="3">
        <v>43556</v>
      </c>
      <c r="E297" s="3">
        <v>43586</v>
      </c>
      <c r="G297">
        <v>6711</v>
      </c>
      <c r="H297">
        <v>7784.76</v>
      </c>
      <c r="I297" t="s">
        <v>11</v>
      </c>
    </row>
    <row r="298" spans="1:9" x14ac:dyDescent="0.2">
      <c r="A298" t="s">
        <v>18</v>
      </c>
      <c r="B298" t="s">
        <v>10</v>
      </c>
      <c r="C298" s="3">
        <v>43556</v>
      </c>
      <c r="D298" s="3">
        <v>43556</v>
      </c>
      <c r="E298" s="3">
        <v>43586</v>
      </c>
      <c r="G298">
        <v>7011</v>
      </c>
      <c r="H298">
        <v>8132.76</v>
      </c>
      <c r="I298" t="s">
        <v>11</v>
      </c>
    </row>
    <row r="299" spans="1:9" x14ac:dyDescent="0.2">
      <c r="A299" t="s">
        <v>18</v>
      </c>
      <c r="B299" t="s">
        <v>10</v>
      </c>
      <c r="C299" s="3">
        <v>43556</v>
      </c>
      <c r="D299" s="3">
        <v>43556</v>
      </c>
      <c r="E299" s="3">
        <v>43586</v>
      </c>
      <c r="G299">
        <v>6711</v>
      </c>
      <c r="H299">
        <v>7784.76</v>
      </c>
      <c r="I299" t="s">
        <v>11</v>
      </c>
    </row>
    <row r="300" spans="1:9" x14ac:dyDescent="0.2">
      <c r="A300" t="s">
        <v>18</v>
      </c>
      <c r="B300" t="s">
        <v>10</v>
      </c>
      <c r="C300" s="3">
        <v>43556</v>
      </c>
      <c r="D300" s="3">
        <v>43556</v>
      </c>
      <c r="E300" s="3">
        <v>43586</v>
      </c>
      <c r="G300">
        <v>8145</v>
      </c>
      <c r="H300">
        <v>9448.2000000000007</v>
      </c>
      <c r="I300" t="s">
        <v>11</v>
      </c>
    </row>
    <row r="301" spans="1:9" x14ac:dyDescent="0.2">
      <c r="A301" t="s">
        <v>18</v>
      </c>
      <c r="B301" t="s">
        <v>10</v>
      </c>
      <c r="C301" s="3">
        <v>43556</v>
      </c>
      <c r="D301" s="3">
        <v>43556</v>
      </c>
      <c r="E301" s="3">
        <v>43586</v>
      </c>
      <c r="G301">
        <v>6709</v>
      </c>
      <c r="H301">
        <v>7782.44</v>
      </c>
      <c r="I301" t="s">
        <v>11</v>
      </c>
    </row>
    <row r="302" spans="1:9" x14ac:dyDescent="0.2">
      <c r="A302" t="s">
        <v>18</v>
      </c>
      <c r="B302" t="s">
        <v>10</v>
      </c>
      <c r="C302" s="3">
        <v>43556</v>
      </c>
      <c r="D302" s="3">
        <v>43556</v>
      </c>
      <c r="E302" s="3">
        <v>43586</v>
      </c>
      <c r="G302">
        <v>7627</v>
      </c>
      <c r="H302">
        <v>8847.32</v>
      </c>
      <c r="I302" t="s">
        <v>11</v>
      </c>
    </row>
    <row r="303" spans="1:9" x14ac:dyDescent="0.2">
      <c r="A303" t="s">
        <v>18</v>
      </c>
      <c r="B303" t="s">
        <v>10</v>
      </c>
      <c r="C303" s="3">
        <v>43556</v>
      </c>
      <c r="D303" s="3">
        <v>43556</v>
      </c>
      <c r="E303" s="3">
        <v>43586</v>
      </c>
      <c r="G303">
        <v>7144</v>
      </c>
      <c r="H303">
        <v>8287.0400000000009</v>
      </c>
      <c r="I303" t="s">
        <v>11</v>
      </c>
    </row>
    <row r="304" spans="1:9" x14ac:dyDescent="0.2">
      <c r="A304" t="s">
        <v>18</v>
      </c>
      <c r="B304" t="s">
        <v>10</v>
      </c>
      <c r="C304" s="3">
        <v>43556</v>
      </c>
      <c r="D304" s="3">
        <v>43556</v>
      </c>
      <c r="E304" s="3">
        <v>43586</v>
      </c>
      <c r="G304">
        <v>7709</v>
      </c>
      <c r="H304">
        <v>8942.44</v>
      </c>
      <c r="I304" t="s">
        <v>11</v>
      </c>
    </row>
    <row r="305" spans="1:9" x14ac:dyDescent="0.2">
      <c r="A305" t="s">
        <v>18</v>
      </c>
      <c r="B305" t="s">
        <v>10</v>
      </c>
      <c r="C305" s="3">
        <v>43556</v>
      </c>
      <c r="D305" s="3">
        <v>43556</v>
      </c>
      <c r="E305" s="3">
        <v>43586</v>
      </c>
      <c r="G305">
        <v>6600</v>
      </c>
      <c r="H305">
        <v>7656</v>
      </c>
      <c r="I305" t="s">
        <v>11</v>
      </c>
    </row>
    <row r="306" spans="1:9" x14ac:dyDescent="0.2">
      <c r="A306" t="s">
        <v>18</v>
      </c>
      <c r="B306" t="s">
        <v>10</v>
      </c>
      <c r="C306" s="3">
        <v>43556</v>
      </c>
      <c r="D306" s="3">
        <v>43556</v>
      </c>
      <c r="E306" s="3">
        <v>43586</v>
      </c>
      <c r="G306">
        <v>6711</v>
      </c>
      <c r="H306">
        <v>7784.76</v>
      </c>
      <c r="I306" t="s">
        <v>11</v>
      </c>
    </row>
    <row r="307" spans="1:9" x14ac:dyDescent="0.2">
      <c r="A307" t="s">
        <v>18</v>
      </c>
      <c r="B307" t="s">
        <v>10</v>
      </c>
      <c r="C307" s="3">
        <v>43556</v>
      </c>
      <c r="D307" s="3">
        <v>43556</v>
      </c>
      <c r="E307" s="3">
        <v>43586</v>
      </c>
      <c r="G307">
        <v>8409</v>
      </c>
      <c r="H307">
        <v>9754.44</v>
      </c>
      <c r="I307" t="s">
        <v>11</v>
      </c>
    </row>
    <row r="308" spans="1:9" x14ac:dyDescent="0.2">
      <c r="A308" t="s">
        <v>18</v>
      </c>
      <c r="B308" t="s">
        <v>10</v>
      </c>
      <c r="C308" s="3">
        <v>43556</v>
      </c>
      <c r="D308" s="3">
        <v>43556</v>
      </c>
      <c r="E308" s="3">
        <v>43586</v>
      </c>
      <c r="G308">
        <v>7710</v>
      </c>
      <c r="H308">
        <v>8943.6</v>
      </c>
      <c r="I308" t="s">
        <v>11</v>
      </c>
    </row>
    <row r="309" spans="1:9" x14ac:dyDescent="0.2">
      <c r="A309" t="s">
        <v>18</v>
      </c>
      <c r="B309" t="s">
        <v>10</v>
      </c>
      <c r="C309" s="3">
        <v>43556</v>
      </c>
      <c r="D309" s="3">
        <v>43556</v>
      </c>
      <c r="E309" s="3">
        <v>43586</v>
      </c>
      <c r="G309">
        <v>8209</v>
      </c>
      <c r="H309">
        <v>9522.44</v>
      </c>
      <c r="I309" t="s">
        <v>11</v>
      </c>
    </row>
    <row r="310" spans="1:9" x14ac:dyDescent="0.2">
      <c r="A310" t="s">
        <v>18</v>
      </c>
      <c r="B310" t="s">
        <v>10</v>
      </c>
      <c r="C310" s="3">
        <v>43556</v>
      </c>
      <c r="D310" s="3">
        <v>43556</v>
      </c>
      <c r="E310" s="3">
        <v>43586</v>
      </c>
      <c r="G310">
        <v>7011</v>
      </c>
      <c r="H310">
        <v>8132.76</v>
      </c>
      <c r="I310" t="s">
        <v>11</v>
      </c>
    </row>
    <row r="311" spans="1:9" x14ac:dyDescent="0.2">
      <c r="A311" t="s">
        <v>18</v>
      </c>
      <c r="B311" t="s">
        <v>10</v>
      </c>
      <c r="C311" s="3">
        <v>43556</v>
      </c>
      <c r="D311" s="3">
        <v>43556</v>
      </c>
      <c r="E311" s="3">
        <v>43586</v>
      </c>
      <c r="G311">
        <v>7491</v>
      </c>
      <c r="H311">
        <v>8689.56</v>
      </c>
      <c r="I311" t="s">
        <v>11</v>
      </c>
    </row>
    <row r="312" spans="1:9" x14ac:dyDescent="0.2">
      <c r="A312" t="s">
        <v>18</v>
      </c>
      <c r="B312" t="s">
        <v>10</v>
      </c>
      <c r="C312" s="3">
        <v>43556</v>
      </c>
      <c r="D312" s="3">
        <v>43556</v>
      </c>
      <c r="E312" s="3">
        <v>43586</v>
      </c>
      <c r="G312">
        <v>7800</v>
      </c>
      <c r="H312">
        <v>9048</v>
      </c>
      <c r="I312" t="s">
        <v>11</v>
      </c>
    </row>
    <row r="313" spans="1:9" x14ac:dyDescent="0.2">
      <c r="A313" t="s">
        <v>18</v>
      </c>
      <c r="B313" t="s">
        <v>10</v>
      </c>
      <c r="C313" s="3">
        <v>43556</v>
      </c>
      <c r="D313" s="3">
        <v>43556</v>
      </c>
      <c r="E313" s="3">
        <v>43586</v>
      </c>
      <c r="G313">
        <v>6957</v>
      </c>
      <c r="H313">
        <v>8070.12</v>
      </c>
      <c r="I313" t="s">
        <v>11</v>
      </c>
    </row>
    <row r="314" spans="1:9" x14ac:dyDescent="0.2">
      <c r="A314" t="s">
        <v>18</v>
      </c>
      <c r="B314" t="s">
        <v>10</v>
      </c>
      <c r="C314" s="3">
        <v>43556</v>
      </c>
      <c r="D314" s="3">
        <v>43556</v>
      </c>
      <c r="E314" s="3">
        <v>43586</v>
      </c>
      <c r="G314">
        <v>6900</v>
      </c>
      <c r="H314">
        <v>8004</v>
      </c>
      <c r="I314" t="s">
        <v>11</v>
      </c>
    </row>
    <row r="315" spans="1:9" x14ac:dyDescent="0.2">
      <c r="A315" t="s">
        <v>18</v>
      </c>
      <c r="B315" t="s">
        <v>10</v>
      </c>
      <c r="C315" s="3">
        <v>43556</v>
      </c>
      <c r="D315" s="3">
        <v>43556</v>
      </c>
      <c r="E315" s="3">
        <v>43586</v>
      </c>
      <c r="G315">
        <v>6975</v>
      </c>
      <c r="H315">
        <v>8091</v>
      </c>
      <c r="I315" t="s">
        <v>11</v>
      </c>
    </row>
    <row r="316" spans="1:9" x14ac:dyDescent="0.2">
      <c r="A316" t="s">
        <v>18</v>
      </c>
      <c r="B316" t="s">
        <v>10</v>
      </c>
      <c r="C316" s="3">
        <v>43556</v>
      </c>
      <c r="D316" s="3">
        <v>43556</v>
      </c>
      <c r="E316" s="3">
        <v>43586</v>
      </c>
      <c r="G316">
        <v>7085</v>
      </c>
      <c r="H316">
        <v>8218.6</v>
      </c>
      <c r="I316" t="s">
        <v>11</v>
      </c>
    </row>
    <row r="317" spans="1:9" x14ac:dyDescent="0.2">
      <c r="A317" t="s">
        <v>18</v>
      </c>
      <c r="B317" t="s">
        <v>10</v>
      </c>
      <c r="C317" s="3">
        <v>43556</v>
      </c>
      <c r="D317" s="3">
        <v>43556</v>
      </c>
      <c r="E317" s="3">
        <v>43586</v>
      </c>
      <c r="G317">
        <v>6957</v>
      </c>
      <c r="H317">
        <v>8070.12</v>
      </c>
      <c r="I317" t="s">
        <v>11</v>
      </c>
    </row>
    <row r="318" spans="1:9" x14ac:dyDescent="0.2">
      <c r="A318" t="s">
        <v>18</v>
      </c>
      <c r="B318" t="s">
        <v>10</v>
      </c>
      <c r="C318" s="3">
        <v>43556</v>
      </c>
      <c r="D318" s="3">
        <v>43556</v>
      </c>
      <c r="E318" s="3">
        <v>43586</v>
      </c>
      <c r="G318">
        <v>6600</v>
      </c>
      <c r="H318">
        <v>7656</v>
      </c>
      <c r="I318" t="s">
        <v>11</v>
      </c>
    </row>
    <row r="319" spans="1:9" x14ac:dyDescent="0.2">
      <c r="A319" t="s">
        <v>18</v>
      </c>
      <c r="B319" t="s">
        <v>10</v>
      </c>
      <c r="C319" s="3">
        <v>43556</v>
      </c>
      <c r="D319" s="3">
        <v>43556</v>
      </c>
      <c r="E319" s="3">
        <v>43586</v>
      </c>
      <c r="G319">
        <v>7099</v>
      </c>
      <c r="H319">
        <v>8234.84</v>
      </c>
      <c r="I319" t="s">
        <v>11</v>
      </c>
    </row>
    <row r="320" spans="1:9" x14ac:dyDescent="0.2">
      <c r="A320" t="s">
        <v>18</v>
      </c>
      <c r="B320" t="s">
        <v>10</v>
      </c>
      <c r="C320" s="3">
        <v>43556</v>
      </c>
      <c r="D320" s="3">
        <v>43556</v>
      </c>
      <c r="E320" s="3">
        <v>43586</v>
      </c>
      <c r="G320">
        <v>6600</v>
      </c>
      <c r="H320">
        <v>7656</v>
      </c>
      <c r="I320" t="s">
        <v>11</v>
      </c>
    </row>
    <row r="321" spans="1:9" x14ac:dyDescent="0.2">
      <c r="A321" t="s">
        <v>18</v>
      </c>
      <c r="B321" t="s">
        <v>10</v>
      </c>
      <c r="C321" s="3">
        <v>43556</v>
      </c>
      <c r="D321" s="3">
        <v>43556</v>
      </c>
      <c r="E321" s="3">
        <v>43586</v>
      </c>
      <c r="G321">
        <v>7448</v>
      </c>
      <c r="H321">
        <v>8639.68</v>
      </c>
      <c r="I321" t="s">
        <v>11</v>
      </c>
    </row>
    <row r="322" spans="1:9" x14ac:dyDescent="0.2">
      <c r="A322" t="s">
        <v>18</v>
      </c>
      <c r="B322" t="s">
        <v>10</v>
      </c>
      <c r="C322" s="3">
        <v>43556</v>
      </c>
      <c r="D322" s="3">
        <v>43556</v>
      </c>
      <c r="E322" s="3">
        <v>43586</v>
      </c>
      <c r="G322">
        <v>6900</v>
      </c>
      <c r="H322">
        <v>8004</v>
      </c>
      <c r="I322" t="s">
        <v>11</v>
      </c>
    </row>
    <row r="323" spans="1:9" x14ac:dyDescent="0.2">
      <c r="A323" t="s">
        <v>19</v>
      </c>
      <c r="B323" t="s">
        <v>14</v>
      </c>
      <c r="C323" s="3">
        <v>43552</v>
      </c>
      <c r="D323" s="3">
        <v>43552</v>
      </c>
      <c r="E323" s="3">
        <v>43567</v>
      </c>
      <c r="F323" s="3">
        <v>43553</v>
      </c>
      <c r="G323">
        <v>818</v>
      </c>
      <c r="H323">
        <v>948.88</v>
      </c>
      <c r="I323" t="s">
        <v>11</v>
      </c>
    </row>
    <row r="324" spans="1:9" x14ac:dyDescent="0.2">
      <c r="A324" t="s">
        <v>32</v>
      </c>
      <c r="B324" t="s">
        <v>10</v>
      </c>
      <c r="C324" s="3">
        <v>43552</v>
      </c>
      <c r="D324" s="3">
        <v>43552</v>
      </c>
      <c r="E324" s="3">
        <v>43567</v>
      </c>
      <c r="G324">
        <v>25937.8</v>
      </c>
      <c r="H324">
        <v>30087.8</v>
      </c>
      <c r="I324" t="s">
        <v>11</v>
      </c>
    </row>
    <row r="325" spans="1:9" x14ac:dyDescent="0.2">
      <c r="A325" t="s">
        <v>18</v>
      </c>
      <c r="B325" t="s">
        <v>10</v>
      </c>
      <c r="C325" s="3">
        <v>43550</v>
      </c>
      <c r="D325" s="3">
        <v>43550</v>
      </c>
      <c r="E325" s="3">
        <v>43580</v>
      </c>
      <c r="G325">
        <v>39946</v>
      </c>
      <c r="H325">
        <v>46337.3</v>
      </c>
      <c r="I325" t="s">
        <v>11</v>
      </c>
    </row>
    <row r="326" spans="1:9" x14ac:dyDescent="0.2">
      <c r="A326" t="s">
        <v>32</v>
      </c>
      <c r="B326" t="s">
        <v>10</v>
      </c>
      <c r="C326" s="3">
        <v>43550</v>
      </c>
      <c r="D326" s="3">
        <v>43550</v>
      </c>
      <c r="E326" s="3">
        <v>43565</v>
      </c>
      <c r="G326">
        <v>1990.56</v>
      </c>
      <c r="H326">
        <v>2309.0500000000002</v>
      </c>
      <c r="I326" t="s">
        <v>11</v>
      </c>
    </row>
    <row r="327" spans="1:9" x14ac:dyDescent="0.2">
      <c r="A327" t="s">
        <v>32</v>
      </c>
      <c r="B327" t="s">
        <v>10</v>
      </c>
      <c r="C327" s="3">
        <v>43549</v>
      </c>
      <c r="D327" s="3">
        <v>43549</v>
      </c>
      <c r="E327" s="3">
        <v>43564</v>
      </c>
      <c r="G327">
        <v>3170.16</v>
      </c>
      <c r="H327">
        <v>3677.39</v>
      </c>
      <c r="I327" t="s">
        <v>11</v>
      </c>
    </row>
    <row r="328" spans="1:9" x14ac:dyDescent="0.2">
      <c r="A328" t="s">
        <v>36</v>
      </c>
      <c r="B328" t="s">
        <v>10</v>
      </c>
      <c r="C328" s="3">
        <v>43549</v>
      </c>
      <c r="D328" s="3">
        <v>43546</v>
      </c>
      <c r="E328" s="3">
        <v>43564</v>
      </c>
      <c r="G328">
        <v>5612</v>
      </c>
      <c r="H328">
        <v>6509.92</v>
      </c>
      <c r="I328" t="s">
        <v>11</v>
      </c>
    </row>
    <row r="329" spans="1:9" x14ac:dyDescent="0.2">
      <c r="A329" t="s">
        <v>32</v>
      </c>
      <c r="B329" t="s">
        <v>10</v>
      </c>
      <c r="C329" s="3">
        <v>43546</v>
      </c>
      <c r="D329" s="3">
        <v>43546</v>
      </c>
      <c r="E329" s="3">
        <v>43561</v>
      </c>
      <c r="G329">
        <v>2666.31</v>
      </c>
      <c r="H329">
        <v>3092.92</v>
      </c>
      <c r="I329" t="s">
        <v>11</v>
      </c>
    </row>
    <row r="330" spans="1:9" x14ac:dyDescent="0.2">
      <c r="A330" t="s">
        <v>19</v>
      </c>
      <c r="B330" t="s">
        <v>10</v>
      </c>
      <c r="C330" s="3">
        <v>43543</v>
      </c>
      <c r="D330" s="3">
        <v>43543</v>
      </c>
      <c r="E330" s="3">
        <v>43558</v>
      </c>
      <c r="G330">
        <v>14448</v>
      </c>
      <c r="H330">
        <v>16759.599999999999</v>
      </c>
      <c r="I330" t="s">
        <v>11</v>
      </c>
    </row>
    <row r="331" spans="1:9" x14ac:dyDescent="0.2">
      <c r="A331" t="s">
        <v>19</v>
      </c>
      <c r="B331" t="s">
        <v>10</v>
      </c>
      <c r="C331" s="3">
        <v>43543</v>
      </c>
      <c r="D331" s="3">
        <v>43543</v>
      </c>
      <c r="E331" s="3">
        <v>43558</v>
      </c>
      <c r="G331">
        <v>28793</v>
      </c>
      <c r="H331">
        <v>33399.800000000003</v>
      </c>
      <c r="I331" t="s">
        <v>11</v>
      </c>
    </row>
    <row r="332" spans="1:9" x14ac:dyDescent="0.2">
      <c r="A332" t="s">
        <v>19</v>
      </c>
      <c r="B332" t="s">
        <v>10</v>
      </c>
      <c r="C332" s="3">
        <v>43543</v>
      </c>
      <c r="D332" s="3">
        <v>43538</v>
      </c>
      <c r="E332" s="3">
        <v>43558</v>
      </c>
      <c r="G332">
        <v>7167</v>
      </c>
      <c r="H332">
        <v>8313.7199999999993</v>
      </c>
      <c r="I332" t="s">
        <v>11</v>
      </c>
    </row>
    <row r="333" spans="1:9" x14ac:dyDescent="0.2">
      <c r="A333" t="s">
        <v>19</v>
      </c>
      <c r="B333" t="s">
        <v>10</v>
      </c>
      <c r="C333" s="3">
        <v>43543</v>
      </c>
      <c r="D333" s="3">
        <v>43538</v>
      </c>
      <c r="E333" s="3">
        <v>43558</v>
      </c>
      <c r="G333">
        <v>22392</v>
      </c>
      <c r="H333">
        <v>25974.7</v>
      </c>
      <c r="I333" t="s">
        <v>11</v>
      </c>
    </row>
    <row r="334" spans="1:9" x14ac:dyDescent="0.2">
      <c r="A334" t="s">
        <v>19</v>
      </c>
      <c r="B334" t="s">
        <v>10</v>
      </c>
      <c r="C334" s="3">
        <v>43543</v>
      </c>
      <c r="D334" s="3">
        <v>43543</v>
      </c>
      <c r="E334" s="3">
        <v>43558</v>
      </c>
      <c r="G334">
        <v>13815</v>
      </c>
      <c r="H334">
        <v>16025.4</v>
      </c>
      <c r="I334" t="s">
        <v>11</v>
      </c>
    </row>
    <row r="335" spans="1:9" x14ac:dyDescent="0.2">
      <c r="A335" t="s">
        <v>19</v>
      </c>
      <c r="B335" t="s">
        <v>10</v>
      </c>
      <c r="C335" s="3">
        <v>43543</v>
      </c>
      <c r="D335" s="3">
        <v>43543</v>
      </c>
      <c r="E335" s="3">
        <v>43558</v>
      </c>
      <c r="G335">
        <v>6140</v>
      </c>
      <c r="H335">
        <v>7122.4</v>
      </c>
      <c r="I335" t="s">
        <v>11</v>
      </c>
    </row>
    <row r="336" spans="1:9" x14ac:dyDescent="0.2">
      <c r="A336" t="s">
        <v>32</v>
      </c>
      <c r="B336" t="s">
        <v>10</v>
      </c>
      <c r="C336" s="3">
        <v>43543</v>
      </c>
      <c r="D336" s="3">
        <v>43543</v>
      </c>
      <c r="E336" s="3">
        <v>43558</v>
      </c>
      <c r="G336">
        <v>7592.76</v>
      </c>
      <c r="H336">
        <v>8807.6</v>
      </c>
      <c r="I336" t="s">
        <v>11</v>
      </c>
    </row>
    <row r="337" spans="1:9" x14ac:dyDescent="0.2">
      <c r="A337" t="s">
        <v>19</v>
      </c>
      <c r="B337" t="s">
        <v>10</v>
      </c>
      <c r="C337" s="3">
        <v>43543</v>
      </c>
      <c r="D337" s="3">
        <v>43543</v>
      </c>
      <c r="E337" s="3">
        <v>43558</v>
      </c>
      <c r="G337">
        <v>13841</v>
      </c>
      <c r="H337">
        <v>16055.5</v>
      </c>
      <c r="I337" t="s">
        <v>11</v>
      </c>
    </row>
    <row r="338" spans="1:9" x14ac:dyDescent="0.2">
      <c r="A338" t="s">
        <v>19</v>
      </c>
      <c r="B338" t="s">
        <v>10</v>
      </c>
      <c r="C338" s="3">
        <v>43543</v>
      </c>
      <c r="D338" s="3">
        <v>43543</v>
      </c>
      <c r="E338" s="3">
        <v>43558</v>
      </c>
      <c r="G338">
        <v>27546</v>
      </c>
      <c r="H338">
        <v>31953.3</v>
      </c>
      <c r="I338" t="s">
        <v>11</v>
      </c>
    </row>
    <row r="339" spans="1:9" x14ac:dyDescent="0.2">
      <c r="A339" t="s">
        <v>26</v>
      </c>
      <c r="B339" t="s">
        <v>10</v>
      </c>
      <c r="C339" s="3">
        <v>43538</v>
      </c>
      <c r="D339" s="3">
        <v>43538</v>
      </c>
      <c r="E339" s="3">
        <v>43545</v>
      </c>
      <c r="G339">
        <v>525.23</v>
      </c>
      <c r="H339">
        <v>609.27</v>
      </c>
      <c r="I339" t="s">
        <v>11</v>
      </c>
    </row>
    <row r="340" spans="1:9" x14ac:dyDescent="0.2">
      <c r="A340" t="s">
        <v>21</v>
      </c>
      <c r="B340" t="s">
        <v>10</v>
      </c>
      <c r="C340" s="3">
        <v>43538</v>
      </c>
      <c r="D340" s="3">
        <v>43538</v>
      </c>
      <c r="E340" s="3">
        <v>43545</v>
      </c>
      <c r="G340">
        <v>10400</v>
      </c>
      <c r="H340">
        <v>12064</v>
      </c>
      <c r="I340" t="s">
        <v>11</v>
      </c>
    </row>
    <row r="341" spans="1:9" x14ac:dyDescent="0.2">
      <c r="A341" t="s">
        <v>34</v>
      </c>
      <c r="B341" t="s">
        <v>14</v>
      </c>
      <c r="C341" s="3">
        <v>43538</v>
      </c>
      <c r="D341" s="3">
        <v>43538</v>
      </c>
      <c r="E341" s="3">
        <v>43538</v>
      </c>
      <c r="F341" s="3">
        <v>43538</v>
      </c>
      <c r="G341">
        <v>2028</v>
      </c>
      <c r="H341">
        <v>2352.48</v>
      </c>
      <c r="I341" t="s">
        <v>11</v>
      </c>
    </row>
    <row r="342" spans="1:9" x14ac:dyDescent="0.2">
      <c r="A342" t="s">
        <v>13</v>
      </c>
      <c r="B342" t="s">
        <v>10</v>
      </c>
      <c r="C342" s="3">
        <v>43537</v>
      </c>
      <c r="D342" s="3">
        <v>43537</v>
      </c>
      <c r="E342" s="3">
        <v>43567</v>
      </c>
      <c r="G342">
        <v>3546</v>
      </c>
      <c r="H342">
        <v>4113.3599999999997</v>
      </c>
      <c r="I342" t="s">
        <v>11</v>
      </c>
    </row>
    <row r="343" spans="1:9" x14ac:dyDescent="0.2">
      <c r="A343" t="s">
        <v>32</v>
      </c>
      <c r="B343" t="s">
        <v>10</v>
      </c>
      <c r="C343" s="3">
        <v>43537</v>
      </c>
      <c r="D343" s="3">
        <v>43537</v>
      </c>
      <c r="E343" s="3">
        <v>43552</v>
      </c>
      <c r="G343">
        <v>18351.900000000001</v>
      </c>
      <c r="H343">
        <v>21288.2</v>
      </c>
      <c r="I343" t="s">
        <v>11</v>
      </c>
    </row>
    <row r="344" spans="1:9" x14ac:dyDescent="0.2">
      <c r="A344" t="s">
        <v>32</v>
      </c>
      <c r="B344" t="s">
        <v>10</v>
      </c>
      <c r="C344" s="3">
        <v>43536</v>
      </c>
      <c r="D344" s="3">
        <v>43536</v>
      </c>
      <c r="E344" s="3">
        <v>43551</v>
      </c>
      <c r="G344">
        <v>7144.32</v>
      </c>
      <c r="H344">
        <v>8287.41</v>
      </c>
      <c r="I344" t="s">
        <v>11</v>
      </c>
    </row>
    <row r="345" spans="1:9" x14ac:dyDescent="0.2">
      <c r="A345" t="s">
        <v>20</v>
      </c>
      <c r="B345" t="s">
        <v>10</v>
      </c>
      <c r="C345" s="3">
        <v>43535</v>
      </c>
      <c r="D345" s="3">
        <v>43535</v>
      </c>
      <c r="E345" s="3">
        <v>43580</v>
      </c>
      <c r="G345">
        <v>29923</v>
      </c>
      <c r="H345">
        <v>34710.6</v>
      </c>
      <c r="I345" t="s">
        <v>11</v>
      </c>
    </row>
    <row r="346" spans="1:9" x14ac:dyDescent="0.2">
      <c r="A346" t="s">
        <v>20</v>
      </c>
      <c r="B346" t="s">
        <v>10</v>
      </c>
      <c r="C346" s="3">
        <v>43535</v>
      </c>
      <c r="D346" s="3">
        <v>43535</v>
      </c>
      <c r="E346" s="3">
        <v>43580</v>
      </c>
      <c r="G346">
        <v>28391</v>
      </c>
      <c r="H346">
        <v>32933.5</v>
      </c>
      <c r="I346" t="s">
        <v>11</v>
      </c>
    </row>
    <row r="347" spans="1:9" x14ac:dyDescent="0.2">
      <c r="A347" t="s">
        <v>20</v>
      </c>
      <c r="B347" t="s">
        <v>14</v>
      </c>
      <c r="C347" s="3">
        <v>43535</v>
      </c>
      <c r="D347" s="3">
        <v>43535</v>
      </c>
      <c r="E347" s="3">
        <v>43580</v>
      </c>
      <c r="F347" s="3">
        <v>43535</v>
      </c>
      <c r="G347">
        <v>26926</v>
      </c>
      <c r="H347">
        <v>31234.1</v>
      </c>
      <c r="I347" t="s">
        <v>11</v>
      </c>
    </row>
    <row r="348" spans="1:9" x14ac:dyDescent="0.2">
      <c r="A348" t="s">
        <v>20</v>
      </c>
      <c r="B348" t="s">
        <v>10</v>
      </c>
      <c r="C348" s="3">
        <v>43535</v>
      </c>
      <c r="D348" s="3">
        <v>43535</v>
      </c>
      <c r="E348" s="3">
        <v>43580</v>
      </c>
      <c r="G348">
        <v>28391</v>
      </c>
      <c r="H348">
        <v>32933.5</v>
      </c>
      <c r="I348" t="s">
        <v>11</v>
      </c>
    </row>
    <row r="349" spans="1:9" x14ac:dyDescent="0.2">
      <c r="A349" t="s">
        <v>32</v>
      </c>
      <c r="B349" t="s">
        <v>10</v>
      </c>
      <c r="C349" s="3">
        <v>43532</v>
      </c>
      <c r="D349" s="3">
        <v>43532</v>
      </c>
      <c r="E349" s="3">
        <v>43547</v>
      </c>
      <c r="G349">
        <v>10924.6</v>
      </c>
      <c r="H349">
        <v>12672.6</v>
      </c>
      <c r="I349" t="s">
        <v>11</v>
      </c>
    </row>
    <row r="350" spans="1:9" x14ac:dyDescent="0.2">
      <c r="A350" t="s">
        <v>18</v>
      </c>
      <c r="B350" t="s">
        <v>10</v>
      </c>
      <c r="C350" s="3">
        <v>43531</v>
      </c>
      <c r="D350" s="3">
        <v>43531</v>
      </c>
      <c r="E350" s="3">
        <v>43561</v>
      </c>
      <c r="G350">
        <v>19896</v>
      </c>
      <c r="H350">
        <v>23079.3</v>
      </c>
      <c r="I350" t="s">
        <v>11</v>
      </c>
    </row>
    <row r="351" spans="1:9" x14ac:dyDescent="0.2">
      <c r="A351" t="s">
        <v>20</v>
      </c>
      <c r="B351" t="s">
        <v>10</v>
      </c>
      <c r="C351" s="3">
        <v>43531</v>
      </c>
      <c r="D351" s="3">
        <v>43531</v>
      </c>
      <c r="E351" s="3">
        <v>43576</v>
      </c>
      <c r="G351">
        <v>11776</v>
      </c>
      <c r="H351">
        <v>13660.1</v>
      </c>
      <c r="I351" t="s">
        <v>11</v>
      </c>
    </row>
    <row r="352" spans="1:9" x14ac:dyDescent="0.2">
      <c r="A352" t="s">
        <v>18</v>
      </c>
      <c r="B352" t="s">
        <v>10</v>
      </c>
      <c r="C352" s="3">
        <v>43530</v>
      </c>
      <c r="D352" s="3">
        <v>43530</v>
      </c>
      <c r="E352" s="3">
        <v>43560</v>
      </c>
      <c r="G352">
        <v>16532</v>
      </c>
      <c r="H352">
        <v>19177.099999999999</v>
      </c>
      <c r="I352" t="s">
        <v>11</v>
      </c>
    </row>
    <row r="353" spans="1:9" x14ac:dyDescent="0.2">
      <c r="A353" t="s">
        <v>19</v>
      </c>
      <c r="B353" t="s">
        <v>10</v>
      </c>
      <c r="C353" s="3">
        <v>43529</v>
      </c>
      <c r="D353" s="3">
        <v>43529</v>
      </c>
      <c r="E353" s="3">
        <v>43544</v>
      </c>
      <c r="G353">
        <v>818</v>
      </c>
      <c r="H353">
        <v>948.88</v>
      </c>
      <c r="I353" t="s">
        <v>11</v>
      </c>
    </row>
    <row r="354" spans="1:9" x14ac:dyDescent="0.2">
      <c r="A354" t="s">
        <v>19</v>
      </c>
      <c r="B354" t="s">
        <v>10</v>
      </c>
      <c r="C354" s="3">
        <v>43525</v>
      </c>
      <c r="D354" s="3">
        <v>43525</v>
      </c>
      <c r="E354" s="3">
        <v>43540</v>
      </c>
      <c r="G354">
        <v>34561</v>
      </c>
      <c r="H354">
        <v>40090.699999999997</v>
      </c>
      <c r="I354" t="s">
        <v>11</v>
      </c>
    </row>
    <row r="355" spans="1:9" x14ac:dyDescent="0.2">
      <c r="A355" t="s">
        <v>19</v>
      </c>
      <c r="B355" t="s">
        <v>10</v>
      </c>
      <c r="C355" s="3">
        <v>43525</v>
      </c>
      <c r="D355" s="3">
        <v>43525</v>
      </c>
      <c r="E355" s="3">
        <v>43540</v>
      </c>
      <c r="G355">
        <v>12287</v>
      </c>
      <c r="H355">
        <v>14252.9</v>
      </c>
      <c r="I355" t="s">
        <v>11</v>
      </c>
    </row>
    <row r="356" spans="1:9" x14ac:dyDescent="0.2">
      <c r="A356" t="s">
        <v>19</v>
      </c>
      <c r="B356" t="s">
        <v>10</v>
      </c>
      <c r="C356" s="3">
        <v>43525</v>
      </c>
      <c r="D356" s="3">
        <v>43525</v>
      </c>
      <c r="E356" s="3">
        <v>43540</v>
      </c>
      <c r="G356">
        <v>39392</v>
      </c>
      <c r="H356">
        <v>45694.7</v>
      </c>
      <c r="I356" t="s">
        <v>11</v>
      </c>
    </row>
    <row r="357" spans="1:9" x14ac:dyDescent="0.2">
      <c r="A357" t="s">
        <v>19</v>
      </c>
      <c r="B357" t="s">
        <v>10</v>
      </c>
      <c r="C357" s="3">
        <v>43525</v>
      </c>
      <c r="D357" s="3">
        <v>43525</v>
      </c>
      <c r="E357" s="3">
        <v>43540</v>
      </c>
      <c r="G357">
        <v>7571</v>
      </c>
      <c r="H357">
        <v>8782.36</v>
      </c>
      <c r="I357" t="s">
        <v>11</v>
      </c>
    </row>
    <row r="358" spans="1:9" x14ac:dyDescent="0.2">
      <c r="A358" t="s">
        <v>19</v>
      </c>
      <c r="B358" t="s">
        <v>10</v>
      </c>
      <c r="C358" s="3">
        <v>43525</v>
      </c>
      <c r="D358" s="3">
        <v>43503</v>
      </c>
      <c r="E358" s="3">
        <v>43540</v>
      </c>
      <c r="G358">
        <v>39698</v>
      </c>
      <c r="H358">
        <v>46049.599999999999</v>
      </c>
      <c r="I358" t="s">
        <v>11</v>
      </c>
    </row>
    <row r="359" spans="1:9" x14ac:dyDescent="0.2">
      <c r="A359" t="s">
        <v>19</v>
      </c>
      <c r="B359" t="s">
        <v>10</v>
      </c>
      <c r="C359" s="3">
        <v>43525</v>
      </c>
      <c r="D359" s="3">
        <v>43525</v>
      </c>
      <c r="E359" s="3">
        <v>43540</v>
      </c>
      <c r="G359">
        <v>14472</v>
      </c>
      <c r="H359">
        <v>16787.5</v>
      </c>
      <c r="I359" t="s">
        <v>11</v>
      </c>
    </row>
    <row r="360" spans="1:9" x14ac:dyDescent="0.2">
      <c r="A360" t="s">
        <v>19</v>
      </c>
      <c r="B360" t="s">
        <v>10</v>
      </c>
      <c r="C360" s="3">
        <v>43525</v>
      </c>
      <c r="D360" s="3">
        <v>43525</v>
      </c>
      <c r="E360" s="3">
        <v>43540</v>
      </c>
      <c r="G360">
        <v>27522</v>
      </c>
      <c r="H360">
        <v>31925.5</v>
      </c>
      <c r="I360" t="s">
        <v>11</v>
      </c>
    </row>
    <row r="361" spans="1:9" x14ac:dyDescent="0.2">
      <c r="A361" t="s">
        <v>19</v>
      </c>
      <c r="B361" t="s">
        <v>10</v>
      </c>
      <c r="C361" s="3">
        <v>43525</v>
      </c>
      <c r="D361" s="3">
        <v>43521</v>
      </c>
      <c r="E361" s="3">
        <v>43540</v>
      </c>
      <c r="G361">
        <v>19997</v>
      </c>
      <c r="H361">
        <v>23196.5</v>
      </c>
      <c r="I361" t="s">
        <v>11</v>
      </c>
    </row>
    <row r="362" spans="1:9" x14ac:dyDescent="0.2">
      <c r="A362" t="s">
        <v>19</v>
      </c>
      <c r="B362" t="s">
        <v>10</v>
      </c>
      <c r="C362" s="3">
        <v>43525</v>
      </c>
      <c r="D362" s="3">
        <v>43525</v>
      </c>
      <c r="E362" s="3">
        <v>43540</v>
      </c>
      <c r="G362">
        <v>18273</v>
      </c>
      <c r="H362">
        <v>21196.6</v>
      </c>
      <c r="I362" t="s">
        <v>11</v>
      </c>
    </row>
    <row r="363" spans="1:9" x14ac:dyDescent="0.2">
      <c r="A363" t="s">
        <v>19</v>
      </c>
      <c r="B363" t="s">
        <v>10</v>
      </c>
      <c r="C363" s="3">
        <v>43525</v>
      </c>
      <c r="D363" s="3">
        <v>43525</v>
      </c>
      <c r="E363" s="3">
        <v>43540</v>
      </c>
      <c r="G363">
        <v>11911</v>
      </c>
      <c r="H363">
        <v>13816.7</v>
      </c>
      <c r="I363" t="s">
        <v>11</v>
      </c>
    </row>
    <row r="364" spans="1:9" x14ac:dyDescent="0.2">
      <c r="A364" t="s">
        <v>19</v>
      </c>
      <c r="B364" t="s">
        <v>10</v>
      </c>
      <c r="C364" s="3">
        <v>43525</v>
      </c>
      <c r="D364" s="3">
        <v>43521</v>
      </c>
      <c r="E364" s="3">
        <v>43540</v>
      </c>
      <c r="G364">
        <v>42440</v>
      </c>
      <c r="H364">
        <v>49230.400000000001</v>
      </c>
      <c r="I364" t="s">
        <v>11</v>
      </c>
    </row>
    <row r="365" spans="1:9" x14ac:dyDescent="0.2">
      <c r="A365" t="s">
        <v>13</v>
      </c>
      <c r="B365" t="s">
        <v>10</v>
      </c>
      <c r="C365" s="3">
        <v>43525</v>
      </c>
      <c r="D365" s="3">
        <v>43525</v>
      </c>
      <c r="E365" s="3">
        <v>43555</v>
      </c>
      <c r="G365">
        <v>449</v>
      </c>
      <c r="H365">
        <v>520.84</v>
      </c>
      <c r="I365" t="s">
        <v>11</v>
      </c>
    </row>
    <row r="366" spans="1:9" x14ac:dyDescent="0.2">
      <c r="A366" t="s">
        <v>13</v>
      </c>
      <c r="B366" t="s">
        <v>10</v>
      </c>
      <c r="C366" s="3">
        <v>43524</v>
      </c>
      <c r="D366" s="3">
        <v>43524</v>
      </c>
      <c r="E366" s="3">
        <v>43554</v>
      </c>
      <c r="G366">
        <v>14566</v>
      </c>
      <c r="H366">
        <v>16896.5</v>
      </c>
      <c r="I366" t="s">
        <v>11</v>
      </c>
    </row>
    <row r="367" spans="1:9" x14ac:dyDescent="0.2">
      <c r="A367" t="s">
        <v>13</v>
      </c>
      <c r="B367" t="s">
        <v>14</v>
      </c>
      <c r="C367" s="3">
        <v>43524</v>
      </c>
      <c r="D367" s="3">
        <v>43524</v>
      </c>
      <c r="E367" s="3">
        <v>43554</v>
      </c>
      <c r="F367" s="3">
        <v>43524</v>
      </c>
      <c r="G367">
        <v>15622</v>
      </c>
      <c r="H367">
        <v>18121.5</v>
      </c>
      <c r="I367" t="s">
        <v>11</v>
      </c>
    </row>
    <row r="368" spans="1:9" x14ac:dyDescent="0.2">
      <c r="A368" t="s">
        <v>26</v>
      </c>
      <c r="B368" t="s">
        <v>10</v>
      </c>
      <c r="C368" s="3">
        <v>43523</v>
      </c>
      <c r="D368" s="3">
        <v>43523</v>
      </c>
      <c r="E368" s="3">
        <v>43530</v>
      </c>
      <c r="G368">
        <v>1477</v>
      </c>
      <c r="H368">
        <v>1713.32</v>
      </c>
      <c r="I368" t="s">
        <v>11</v>
      </c>
    </row>
    <row r="369" spans="1:9" x14ac:dyDescent="0.2">
      <c r="A369" t="s">
        <v>26</v>
      </c>
      <c r="B369" t="s">
        <v>14</v>
      </c>
      <c r="C369" s="3">
        <v>43523</v>
      </c>
      <c r="D369" s="3">
        <v>43523</v>
      </c>
      <c r="E369" s="3">
        <v>43530</v>
      </c>
      <c r="F369" s="3">
        <v>43523</v>
      </c>
      <c r="G369">
        <v>1477</v>
      </c>
      <c r="H369">
        <v>1713.32</v>
      </c>
      <c r="I369" t="s">
        <v>11</v>
      </c>
    </row>
    <row r="370" spans="1:9" x14ac:dyDescent="0.2">
      <c r="A370" t="s">
        <v>32</v>
      </c>
      <c r="B370" t="s">
        <v>10</v>
      </c>
      <c r="C370" s="3">
        <v>43523</v>
      </c>
      <c r="D370" s="3">
        <v>43523</v>
      </c>
      <c r="E370" s="3">
        <v>43538</v>
      </c>
      <c r="G370">
        <v>43230.3</v>
      </c>
      <c r="H370">
        <v>50147.1</v>
      </c>
      <c r="I370" t="s">
        <v>11</v>
      </c>
    </row>
    <row r="371" spans="1:9" x14ac:dyDescent="0.2">
      <c r="A371" t="s">
        <v>18</v>
      </c>
      <c r="B371" t="s">
        <v>10</v>
      </c>
      <c r="C371" s="3">
        <v>43523</v>
      </c>
      <c r="D371" s="3">
        <v>43523</v>
      </c>
      <c r="E371" s="3">
        <v>43553</v>
      </c>
      <c r="G371">
        <v>1920</v>
      </c>
      <c r="H371">
        <v>2227.1999999999998</v>
      </c>
      <c r="I371" t="s">
        <v>11</v>
      </c>
    </row>
    <row r="372" spans="1:9" x14ac:dyDescent="0.2">
      <c r="A372" t="s">
        <v>23</v>
      </c>
      <c r="B372" t="s">
        <v>10</v>
      </c>
      <c r="C372" s="3">
        <v>43522</v>
      </c>
      <c r="D372" s="3">
        <v>43522</v>
      </c>
      <c r="E372" s="3">
        <v>43582</v>
      </c>
      <c r="G372">
        <v>4144</v>
      </c>
      <c r="H372">
        <v>4807.04</v>
      </c>
      <c r="I372" t="s">
        <v>11</v>
      </c>
    </row>
    <row r="373" spans="1:9" x14ac:dyDescent="0.2">
      <c r="A373" t="s">
        <v>32</v>
      </c>
      <c r="B373" t="s">
        <v>10</v>
      </c>
      <c r="C373" s="3">
        <v>43518</v>
      </c>
      <c r="D373" s="3">
        <v>43518</v>
      </c>
      <c r="E373" s="3">
        <v>43533</v>
      </c>
      <c r="G373">
        <v>3855.18</v>
      </c>
      <c r="H373">
        <v>4472.01</v>
      </c>
      <c r="I373" t="s">
        <v>11</v>
      </c>
    </row>
    <row r="374" spans="1:9" x14ac:dyDescent="0.2">
      <c r="A374" t="s">
        <v>32</v>
      </c>
      <c r="B374" t="s">
        <v>10</v>
      </c>
      <c r="C374" s="3">
        <v>43518</v>
      </c>
      <c r="D374" s="3">
        <v>43518</v>
      </c>
      <c r="E374" s="3">
        <v>43533</v>
      </c>
      <c r="G374">
        <v>1956.36</v>
      </c>
      <c r="H374">
        <v>2269.38</v>
      </c>
      <c r="I374" t="s">
        <v>11</v>
      </c>
    </row>
    <row r="375" spans="1:9" x14ac:dyDescent="0.2">
      <c r="A375" t="s">
        <v>32</v>
      </c>
      <c r="B375" t="s">
        <v>10</v>
      </c>
      <c r="C375" s="3">
        <v>43518</v>
      </c>
      <c r="D375" s="3">
        <v>43518</v>
      </c>
      <c r="E375" s="3">
        <v>43533</v>
      </c>
      <c r="G375">
        <v>2761.92</v>
      </c>
      <c r="H375">
        <v>3203.83</v>
      </c>
      <c r="I375" t="s">
        <v>11</v>
      </c>
    </row>
    <row r="376" spans="1:9" x14ac:dyDescent="0.2">
      <c r="A376" t="s">
        <v>32</v>
      </c>
      <c r="B376" t="s">
        <v>10</v>
      </c>
      <c r="C376" s="3">
        <v>43518</v>
      </c>
      <c r="D376" s="3">
        <v>43518</v>
      </c>
      <c r="E376" s="3">
        <v>43533</v>
      </c>
      <c r="G376">
        <v>3912.72</v>
      </c>
      <c r="H376">
        <v>4538.76</v>
      </c>
      <c r="I376" t="s">
        <v>11</v>
      </c>
    </row>
    <row r="377" spans="1:9" x14ac:dyDescent="0.2">
      <c r="A377" t="s">
        <v>32</v>
      </c>
      <c r="B377" t="s">
        <v>10</v>
      </c>
      <c r="C377" s="3">
        <v>43518</v>
      </c>
      <c r="D377" s="3">
        <v>43518</v>
      </c>
      <c r="E377" s="3">
        <v>43533</v>
      </c>
      <c r="G377">
        <v>1956.36</v>
      </c>
      <c r="H377">
        <v>2269.38</v>
      </c>
      <c r="I377" t="s">
        <v>11</v>
      </c>
    </row>
    <row r="378" spans="1:9" x14ac:dyDescent="0.2">
      <c r="A378" t="s">
        <v>32</v>
      </c>
      <c r="B378" t="s">
        <v>10</v>
      </c>
      <c r="C378" s="3">
        <v>43518</v>
      </c>
      <c r="D378" s="3">
        <v>43518</v>
      </c>
      <c r="E378" s="3">
        <v>43533</v>
      </c>
      <c r="G378">
        <v>8285.76</v>
      </c>
      <c r="H378">
        <v>9611.48</v>
      </c>
      <c r="I378" t="s">
        <v>11</v>
      </c>
    </row>
    <row r="379" spans="1:9" x14ac:dyDescent="0.2">
      <c r="A379" t="s">
        <v>32</v>
      </c>
      <c r="B379" t="s">
        <v>10</v>
      </c>
      <c r="C379" s="3">
        <v>43518</v>
      </c>
      <c r="D379" s="3">
        <v>43518</v>
      </c>
      <c r="E379" s="3">
        <v>43533</v>
      </c>
      <c r="G379">
        <v>13809.6</v>
      </c>
      <c r="H379">
        <v>16019.1</v>
      </c>
      <c r="I379" t="s">
        <v>11</v>
      </c>
    </row>
    <row r="380" spans="1:9" x14ac:dyDescent="0.2">
      <c r="A380" t="s">
        <v>32</v>
      </c>
      <c r="B380" t="s">
        <v>10</v>
      </c>
      <c r="C380" s="3">
        <v>43518</v>
      </c>
      <c r="D380" s="3">
        <v>43518</v>
      </c>
      <c r="E380" s="3">
        <v>43533</v>
      </c>
      <c r="G380">
        <v>8631</v>
      </c>
      <c r="H380">
        <v>10011.9</v>
      </c>
      <c r="I380" t="s">
        <v>11</v>
      </c>
    </row>
    <row r="381" spans="1:9" x14ac:dyDescent="0.2">
      <c r="A381" t="s">
        <v>32</v>
      </c>
      <c r="B381" t="s">
        <v>10</v>
      </c>
      <c r="C381" s="3">
        <v>43518</v>
      </c>
      <c r="D381" s="3">
        <v>43518</v>
      </c>
      <c r="E381" s="3">
        <v>43533</v>
      </c>
      <c r="G381">
        <v>5523.84</v>
      </c>
      <c r="H381">
        <v>6407.65</v>
      </c>
      <c r="I381" t="s">
        <v>11</v>
      </c>
    </row>
    <row r="382" spans="1:9" x14ac:dyDescent="0.2">
      <c r="A382" t="s">
        <v>37</v>
      </c>
      <c r="B382" t="s">
        <v>10</v>
      </c>
      <c r="C382" s="3">
        <v>43516</v>
      </c>
      <c r="D382" s="3">
        <v>43511</v>
      </c>
      <c r="E382" s="3">
        <v>43576</v>
      </c>
      <c r="G382">
        <v>18400</v>
      </c>
      <c r="H382">
        <v>21344</v>
      </c>
      <c r="I382" t="s">
        <v>11</v>
      </c>
    </row>
    <row r="383" spans="1:9" x14ac:dyDescent="0.2">
      <c r="A383" t="s">
        <v>19</v>
      </c>
      <c r="B383" t="s">
        <v>10</v>
      </c>
      <c r="C383" s="3">
        <v>43516</v>
      </c>
      <c r="D383" s="3">
        <v>43515</v>
      </c>
      <c r="E383" s="3">
        <v>43531</v>
      </c>
      <c r="G383">
        <v>13610</v>
      </c>
      <c r="H383">
        <v>15787.6</v>
      </c>
      <c r="I383" t="s">
        <v>11</v>
      </c>
    </row>
    <row r="384" spans="1:9" x14ac:dyDescent="0.2">
      <c r="A384" t="s">
        <v>19</v>
      </c>
      <c r="B384" t="s">
        <v>10</v>
      </c>
      <c r="C384" s="3">
        <v>43516</v>
      </c>
      <c r="D384" s="3">
        <v>43515</v>
      </c>
      <c r="E384" s="3">
        <v>43531</v>
      </c>
      <c r="G384">
        <v>26713</v>
      </c>
      <c r="H384">
        <v>30987</v>
      </c>
      <c r="I384" t="s">
        <v>11</v>
      </c>
    </row>
    <row r="385" spans="1:9" x14ac:dyDescent="0.2">
      <c r="A385" t="s">
        <v>39</v>
      </c>
      <c r="B385" t="s">
        <v>10</v>
      </c>
      <c r="C385" s="3">
        <v>43515</v>
      </c>
      <c r="D385" s="3">
        <v>43515</v>
      </c>
      <c r="E385" s="3">
        <v>43523</v>
      </c>
      <c r="G385">
        <v>7618.92</v>
      </c>
      <c r="H385">
        <v>8837.9500000000007</v>
      </c>
      <c r="I385" t="s">
        <v>11</v>
      </c>
    </row>
    <row r="386" spans="1:9" x14ac:dyDescent="0.2">
      <c r="A386" t="s">
        <v>32</v>
      </c>
      <c r="B386" t="s">
        <v>10</v>
      </c>
      <c r="C386" s="3">
        <v>43515</v>
      </c>
      <c r="D386" s="3">
        <v>43515</v>
      </c>
      <c r="E386" s="3">
        <v>43530</v>
      </c>
      <c r="G386">
        <v>2516.8000000000002</v>
      </c>
      <c r="H386">
        <v>2919.49</v>
      </c>
      <c r="I386" t="s">
        <v>11</v>
      </c>
    </row>
    <row r="387" spans="1:9" x14ac:dyDescent="0.2">
      <c r="A387" t="s">
        <v>32</v>
      </c>
      <c r="B387" t="s">
        <v>10</v>
      </c>
      <c r="C387" s="3">
        <v>43515</v>
      </c>
      <c r="D387" s="3">
        <v>43515</v>
      </c>
      <c r="E387" s="3">
        <v>43530</v>
      </c>
      <c r="G387">
        <v>27413.7</v>
      </c>
      <c r="H387">
        <v>31799.9</v>
      </c>
      <c r="I387" t="s">
        <v>11</v>
      </c>
    </row>
    <row r="388" spans="1:9" x14ac:dyDescent="0.2">
      <c r="A388" t="s">
        <v>37</v>
      </c>
      <c r="B388" t="s">
        <v>10</v>
      </c>
      <c r="C388" s="3">
        <v>43510</v>
      </c>
      <c r="D388" s="3">
        <v>43510</v>
      </c>
      <c r="E388" s="3">
        <v>43570</v>
      </c>
      <c r="G388">
        <v>12500</v>
      </c>
      <c r="H388">
        <v>14500</v>
      </c>
      <c r="I388" t="s">
        <v>11</v>
      </c>
    </row>
    <row r="389" spans="1:9" x14ac:dyDescent="0.2">
      <c r="A389" t="s">
        <v>32</v>
      </c>
      <c r="B389" t="s">
        <v>10</v>
      </c>
      <c r="C389" s="3">
        <v>43510</v>
      </c>
      <c r="D389" s="3">
        <v>43510</v>
      </c>
      <c r="E389" s="3">
        <v>43525</v>
      </c>
      <c r="G389">
        <v>21725.200000000001</v>
      </c>
      <c r="H389">
        <v>25201.3</v>
      </c>
      <c r="I389" t="s">
        <v>11</v>
      </c>
    </row>
    <row r="390" spans="1:9" x14ac:dyDescent="0.2">
      <c r="A390" t="s">
        <v>32</v>
      </c>
      <c r="B390" t="s">
        <v>10</v>
      </c>
      <c r="C390" s="3">
        <v>43510</v>
      </c>
      <c r="D390" s="3">
        <v>43510</v>
      </c>
      <c r="E390" s="3">
        <v>43525</v>
      </c>
      <c r="G390">
        <v>8146.98</v>
      </c>
      <c r="H390">
        <v>9450.5</v>
      </c>
      <c r="I390" t="s">
        <v>11</v>
      </c>
    </row>
    <row r="391" spans="1:9" x14ac:dyDescent="0.2">
      <c r="A391" t="s">
        <v>32</v>
      </c>
      <c r="B391" t="s">
        <v>10</v>
      </c>
      <c r="C391" s="3">
        <v>43510</v>
      </c>
      <c r="D391" s="3">
        <v>43510</v>
      </c>
      <c r="E391" s="3">
        <v>43525</v>
      </c>
      <c r="G391">
        <v>9630</v>
      </c>
      <c r="H391">
        <v>11170.8</v>
      </c>
      <c r="I391" t="s">
        <v>11</v>
      </c>
    </row>
    <row r="392" spans="1:9" x14ac:dyDescent="0.2">
      <c r="A392" t="s">
        <v>32</v>
      </c>
      <c r="B392" t="s">
        <v>10</v>
      </c>
      <c r="C392" s="3">
        <v>43510</v>
      </c>
      <c r="D392" s="3">
        <v>43510</v>
      </c>
      <c r="E392" s="3">
        <v>43525</v>
      </c>
      <c r="G392">
        <v>7626.96</v>
      </c>
      <c r="H392">
        <v>8847.27</v>
      </c>
      <c r="I392" t="s">
        <v>11</v>
      </c>
    </row>
    <row r="393" spans="1:9" x14ac:dyDescent="0.2">
      <c r="A393" t="s">
        <v>32</v>
      </c>
      <c r="B393" t="s">
        <v>10</v>
      </c>
      <c r="C393" s="3">
        <v>43510</v>
      </c>
      <c r="D393" s="3">
        <v>43510</v>
      </c>
      <c r="E393" s="3">
        <v>43525</v>
      </c>
      <c r="G393">
        <v>19991.8</v>
      </c>
      <c r="H393">
        <v>23190.5</v>
      </c>
      <c r="I393" t="s">
        <v>11</v>
      </c>
    </row>
    <row r="394" spans="1:9" x14ac:dyDescent="0.2">
      <c r="A394" t="s">
        <v>32</v>
      </c>
      <c r="B394" t="s">
        <v>10</v>
      </c>
      <c r="C394" s="3">
        <v>43510</v>
      </c>
      <c r="D394" s="3">
        <v>43510</v>
      </c>
      <c r="E394" s="3">
        <v>43525</v>
      </c>
      <c r="G394">
        <v>6663.96</v>
      </c>
      <c r="H394">
        <v>7730.19</v>
      </c>
      <c r="I394" t="s">
        <v>11</v>
      </c>
    </row>
    <row r="395" spans="1:9" x14ac:dyDescent="0.2">
      <c r="A395" t="s">
        <v>26</v>
      </c>
      <c r="B395" t="s">
        <v>10</v>
      </c>
      <c r="C395" s="3">
        <v>43509</v>
      </c>
      <c r="D395" s="3">
        <v>43509</v>
      </c>
      <c r="E395" s="3">
        <v>43516</v>
      </c>
      <c r="G395">
        <v>1166</v>
      </c>
      <c r="H395">
        <v>1352.56</v>
      </c>
      <c r="I395" t="s">
        <v>11</v>
      </c>
    </row>
    <row r="396" spans="1:9" x14ac:dyDescent="0.2">
      <c r="A396" t="s">
        <v>26</v>
      </c>
      <c r="B396" t="s">
        <v>10</v>
      </c>
      <c r="C396" s="3">
        <v>43508</v>
      </c>
      <c r="D396" s="3">
        <v>43508</v>
      </c>
      <c r="E396" s="3">
        <v>43515</v>
      </c>
      <c r="G396">
        <v>519.25</v>
      </c>
      <c r="H396">
        <v>602.33000000000004</v>
      </c>
      <c r="I396" t="s">
        <v>11</v>
      </c>
    </row>
    <row r="397" spans="1:9" x14ac:dyDescent="0.2">
      <c r="A397" t="s">
        <v>26</v>
      </c>
      <c r="B397" t="s">
        <v>10</v>
      </c>
      <c r="C397" s="3">
        <v>43508</v>
      </c>
      <c r="D397" s="3">
        <v>43508</v>
      </c>
      <c r="E397" s="3">
        <v>43515</v>
      </c>
      <c r="G397">
        <v>6452.42</v>
      </c>
      <c r="H397">
        <v>7484.81</v>
      </c>
      <c r="I397" t="s">
        <v>11</v>
      </c>
    </row>
    <row r="398" spans="1:9" x14ac:dyDescent="0.2">
      <c r="A398" t="s">
        <v>18</v>
      </c>
      <c r="B398" t="s">
        <v>10</v>
      </c>
      <c r="C398" s="3">
        <v>43508</v>
      </c>
      <c r="D398" s="3">
        <v>43508</v>
      </c>
      <c r="E398" s="3">
        <v>43538</v>
      </c>
      <c r="G398">
        <v>4230</v>
      </c>
      <c r="H398">
        <v>4906.8</v>
      </c>
      <c r="I398" t="s">
        <v>11</v>
      </c>
    </row>
    <row r="399" spans="1:9" x14ac:dyDescent="0.2">
      <c r="A399" t="s">
        <v>19</v>
      </c>
      <c r="B399" t="s">
        <v>10</v>
      </c>
      <c r="C399" s="3">
        <v>43508</v>
      </c>
      <c r="D399" s="3">
        <v>43507</v>
      </c>
      <c r="E399" s="3">
        <v>43523</v>
      </c>
      <c r="G399">
        <v>6161</v>
      </c>
      <c r="H399">
        <v>7146.76</v>
      </c>
      <c r="I399" t="s">
        <v>11</v>
      </c>
    </row>
    <row r="400" spans="1:9" x14ac:dyDescent="0.2">
      <c r="A400" t="s">
        <v>19</v>
      </c>
      <c r="B400" t="s">
        <v>10</v>
      </c>
      <c r="C400" s="3">
        <v>43508</v>
      </c>
      <c r="D400" s="3">
        <v>43507</v>
      </c>
      <c r="E400" s="3">
        <v>43523</v>
      </c>
      <c r="G400">
        <v>21637</v>
      </c>
      <c r="H400">
        <v>25098.9</v>
      </c>
      <c r="I400" t="s">
        <v>11</v>
      </c>
    </row>
    <row r="401" spans="1:9" x14ac:dyDescent="0.2">
      <c r="A401" t="s">
        <v>32</v>
      </c>
      <c r="B401" t="s">
        <v>10</v>
      </c>
      <c r="C401" s="3">
        <v>43507</v>
      </c>
      <c r="D401" s="3">
        <v>43507</v>
      </c>
      <c r="E401" s="3">
        <v>43522</v>
      </c>
      <c r="G401">
        <v>1717.2</v>
      </c>
      <c r="H401">
        <v>1991.95</v>
      </c>
      <c r="I401" t="s">
        <v>11</v>
      </c>
    </row>
    <row r="402" spans="1:9" x14ac:dyDescent="0.2">
      <c r="A402" t="s">
        <v>40</v>
      </c>
      <c r="B402" t="s">
        <v>10</v>
      </c>
      <c r="C402" s="3">
        <v>43507</v>
      </c>
      <c r="D402" s="3">
        <v>43507</v>
      </c>
      <c r="E402" s="3">
        <v>43522</v>
      </c>
      <c r="G402">
        <v>23200</v>
      </c>
      <c r="H402">
        <v>26912</v>
      </c>
      <c r="I402" t="s">
        <v>11</v>
      </c>
    </row>
    <row r="403" spans="1:9" x14ac:dyDescent="0.2">
      <c r="A403" t="s">
        <v>21</v>
      </c>
      <c r="B403" t="s">
        <v>10</v>
      </c>
      <c r="C403" s="3">
        <v>43507</v>
      </c>
      <c r="D403" s="3">
        <v>43507</v>
      </c>
      <c r="E403" s="3">
        <v>43514</v>
      </c>
      <c r="G403">
        <v>45213</v>
      </c>
      <c r="H403">
        <v>52447</v>
      </c>
      <c r="I403" t="s">
        <v>11</v>
      </c>
    </row>
    <row r="404" spans="1:9" x14ac:dyDescent="0.2">
      <c r="A404" t="s">
        <v>32</v>
      </c>
      <c r="B404" t="s">
        <v>10</v>
      </c>
      <c r="C404" s="3">
        <v>43504</v>
      </c>
      <c r="D404" s="3">
        <v>43504</v>
      </c>
      <c r="E404" s="3">
        <v>43519</v>
      </c>
      <c r="G404">
        <v>12230.4</v>
      </c>
      <c r="H404">
        <v>14187.2</v>
      </c>
      <c r="I404" t="s">
        <v>11</v>
      </c>
    </row>
    <row r="405" spans="1:9" x14ac:dyDescent="0.2">
      <c r="A405" t="s">
        <v>36</v>
      </c>
      <c r="B405" t="s">
        <v>14</v>
      </c>
      <c r="C405" s="3">
        <v>43504</v>
      </c>
      <c r="D405" s="3">
        <v>43504</v>
      </c>
      <c r="E405" s="3">
        <v>43519</v>
      </c>
      <c r="F405" s="3">
        <v>43504</v>
      </c>
      <c r="G405">
        <v>12230.4</v>
      </c>
      <c r="H405">
        <v>14187.2</v>
      </c>
      <c r="I405" t="s">
        <v>11</v>
      </c>
    </row>
    <row r="406" spans="1:9" x14ac:dyDescent="0.2">
      <c r="A406" t="s">
        <v>20</v>
      </c>
      <c r="B406" t="s">
        <v>10</v>
      </c>
      <c r="C406" s="3">
        <v>43501</v>
      </c>
      <c r="D406" s="3">
        <v>43501</v>
      </c>
      <c r="E406" s="3">
        <v>43546</v>
      </c>
      <c r="G406">
        <v>11225</v>
      </c>
      <c r="H406">
        <v>13021</v>
      </c>
      <c r="I406" t="s">
        <v>11</v>
      </c>
    </row>
    <row r="407" spans="1:9" x14ac:dyDescent="0.2">
      <c r="A407" t="s">
        <v>41</v>
      </c>
      <c r="B407" t="s">
        <v>10</v>
      </c>
      <c r="C407" s="3">
        <v>43501</v>
      </c>
      <c r="D407" s="3">
        <v>43501</v>
      </c>
      <c r="E407" s="3">
        <v>43509</v>
      </c>
      <c r="G407">
        <v>76728.899999999994</v>
      </c>
      <c r="H407">
        <v>89005.5</v>
      </c>
      <c r="I407" t="s">
        <v>11</v>
      </c>
    </row>
    <row r="408" spans="1:9" x14ac:dyDescent="0.2">
      <c r="A408" t="s">
        <v>25</v>
      </c>
      <c r="B408" t="s">
        <v>10</v>
      </c>
      <c r="C408" s="3">
        <v>43501</v>
      </c>
      <c r="D408" s="3">
        <v>43501</v>
      </c>
      <c r="E408" s="3">
        <v>43531</v>
      </c>
      <c r="G408">
        <v>11143.5</v>
      </c>
      <c r="H408">
        <v>12926.4</v>
      </c>
      <c r="I408" t="s">
        <v>11</v>
      </c>
    </row>
    <row r="409" spans="1:9" x14ac:dyDescent="0.2">
      <c r="A409" t="s">
        <v>19</v>
      </c>
      <c r="B409" t="s">
        <v>10</v>
      </c>
      <c r="C409" s="3">
        <v>43497</v>
      </c>
      <c r="D409" s="3">
        <v>43490</v>
      </c>
      <c r="E409" s="3">
        <v>43512</v>
      </c>
      <c r="G409">
        <v>31360</v>
      </c>
      <c r="H409">
        <v>36377.599999999999</v>
      </c>
      <c r="I409" t="s">
        <v>11</v>
      </c>
    </row>
    <row r="410" spans="1:9" x14ac:dyDescent="0.2">
      <c r="A410" t="s">
        <v>19</v>
      </c>
      <c r="B410" t="s">
        <v>10</v>
      </c>
      <c r="C410" s="3">
        <v>43497</v>
      </c>
      <c r="D410" s="3">
        <v>43489</v>
      </c>
      <c r="E410" s="3">
        <v>43512</v>
      </c>
      <c r="G410">
        <v>37974</v>
      </c>
      <c r="H410">
        <v>44049.8</v>
      </c>
      <c r="I410" t="s">
        <v>11</v>
      </c>
    </row>
    <row r="411" spans="1:9" x14ac:dyDescent="0.2">
      <c r="A411" t="s">
        <v>19</v>
      </c>
      <c r="B411" t="s">
        <v>10</v>
      </c>
      <c r="C411" s="3">
        <v>43497</v>
      </c>
      <c r="D411" s="3">
        <v>43497</v>
      </c>
      <c r="E411" s="3">
        <v>43512</v>
      </c>
      <c r="G411">
        <v>28640</v>
      </c>
      <c r="H411">
        <v>33222.400000000001</v>
      </c>
      <c r="I411" t="s">
        <v>11</v>
      </c>
    </row>
    <row r="412" spans="1:9" x14ac:dyDescent="0.2">
      <c r="A412" t="s">
        <v>41</v>
      </c>
      <c r="B412" t="s">
        <v>10</v>
      </c>
      <c r="C412" s="3">
        <v>43497</v>
      </c>
      <c r="D412" s="3">
        <v>43497</v>
      </c>
      <c r="E412" s="3">
        <v>43505</v>
      </c>
      <c r="G412">
        <v>9196.7999999999993</v>
      </c>
      <c r="H412">
        <v>10668.2</v>
      </c>
      <c r="I412" t="s">
        <v>11</v>
      </c>
    </row>
    <row r="413" spans="1:9" x14ac:dyDescent="0.2">
      <c r="A413" t="s">
        <v>19</v>
      </c>
      <c r="B413" t="s">
        <v>10</v>
      </c>
      <c r="C413" s="3">
        <v>43494</v>
      </c>
      <c r="D413" s="3">
        <v>43487</v>
      </c>
      <c r="E413" s="3">
        <v>43509</v>
      </c>
      <c r="G413">
        <v>30390</v>
      </c>
      <c r="H413">
        <v>35252.400000000001</v>
      </c>
      <c r="I413" t="s">
        <v>11</v>
      </c>
    </row>
    <row r="414" spans="1:9" x14ac:dyDescent="0.2">
      <c r="A414" t="s">
        <v>18</v>
      </c>
      <c r="B414" t="s">
        <v>10</v>
      </c>
      <c r="C414" s="3">
        <v>43494</v>
      </c>
      <c r="D414" s="3">
        <v>43494</v>
      </c>
      <c r="E414" s="3">
        <v>43524</v>
      </c>
      <c r="G414">
        <v>3840</v>
      </c>
      <c r="H414">
        <v>4454.3999999999996</v>
      </c>
      <c r="I414" t="s">
        <v>11</v>
      </c>
    </row>
    <row r="415" spans="1:9" x14ac:dyDescent="0.2">
      <c r="A415" t="s">
        <v>13</v>
      </c>
      <c r="B415" t="s">
        <v>10</v>
      </c>
      <c r="C415" s="3">
        <v>43494</v>
      </c>
      <c r="D415" s="3">
        <v>43494</v>
      </c>
      <c r="E415" s="3">
        <v>43524</v>
      </c>
      <c r="G415">
        <v>2322</v>
      </c>
      <c r="H415">
        <v>2693.52</v>
      </c>
      <c r="I415" t="s">
        <v>11</v>
      </c>
    </row>
    <row r="416" spans="1:9" x14ac:dyDescent="0.2">
      <c r="A416" t="s">
        <v>41</v>
      </c>
      <c r="B416" t="s">
        <v>10</v>
      </c>
      <c r="C416" s="3">
        <v>43493</v>
      </c>
      <c r="D416" s="3">
        <v>43490</v>
      </c>
      <c r="E416" s="3">
        <v>43501</v>
      </c>
      <c r="G416">
        <v>7001.3</v>
      </c>
      <c r="H416">
        <v>8121.5</v>
      </c>
      <c r="I416" t="s">
        <v>11</v>
      </c>
    </row>
    <row r="417" spans="1:9" x14ac:dyDescent="0.2">
      <c r="A417" t="s">
        <v>41</v>
      </c>
      <c r="B417" t="s">
        <v>10</v>
      </c>
      <c r="C417" s="3">
        <v>43493</v>
      </c>
      <c r="D417" s="3">
        <v>43490</v>
      </c>
      <c r="E417" s="3">
        <v>43501</v>
      </c>
      <c r="G417">
        <v>5723.13</v>
      </c>
      <c r="H417">
        <v>6638.83</v>
      </c>
      <c r="I417" t="s">
        <v>11</v>
      </c>
    </row>
    <row r="418" spans="1:9" x14ac:dyDescent="0.2">
      <c r="A418" t="s">
        <v>41</v>
      </c>
      <c r="B418" t="s">
        <v>10</v>
      </c>
      <c r="C418" s="3">
        <v>43493</v>
      </c>
      <c r="D418" s="3">
        <v>43493</v>
      </c>
      <c r="E418" s="3">
        <v>43501</v>
      </c>
      <c r="G418">
        <v>24428.6</v>
      </c>
      <c r="H418">
        <v>28337.200000000001</v>
      </c>
      <c r="I418" t="s">
        <v>11</v>
      </c>
    </row>
    <row r="419" spans="1:9" x14ac:dyDescent="0.2">
      <c r="A419" t="s">
        <v>41</v>
      </c>
      <c r="B419" t="s">
        <v>10</v>
      </c>
      <c r="C419" s="3">
        <v>43493</v>
      </c>
      <c r="D419" s="3">
        <v>43493</v>
      </c>
      <c r="E419" s="3">
        <v>43501</v>
      </c>
      <c r="G419">
        <v>14403.2</v>
      </c>
      <c r="H419">
        <v>16707.7</v>
      </c>
      <c r="I419" t="s">
        <v>11</v>
      </c>
    </row>
    <row r="420" spans="1:9" x14ac:dyDescent="0.2">
      <c r="A420" t="s">
        <v>41</v>
      </c>
      <c r="B420" t="s">
        <v>10</v>
      </c>
      <c r="C420" s="3">
        <v>43493</v>
      </c>
      <c r="D420" s="3">
        <v>43493</v>
      </c>
      <c r="E420" s="3">
        <v>43501</v>
      </c>
      <c r="G420">
        <v>16024.7</v>
      </c>
      <c r="H420">
        <v>18588.7</v>
      </c>
      <c r="I420" t="s">
        <v>11</v>
      </c>
    </row>
    <row r="421" spans="1:9" x14ac:dyDescent="0.2">
      <c r="A421" t="s">
        <v>41</v>
      </c>
      <c r="B421" t="s">
        <v>10</v>
      </c>
      <c r="C421" s="3">
        <v>43493</v>
      </c>
      <c r="D421" s="3">
        <v>43493</v>
      </c>
      <c r="E421" s="3">
        <v>43501</v>
      </c>
      <c r="G421">
        <v>17455.5</v>
      </c>
      <c r="H421">
        <v>20248.400000000001</v>
      </c>
      <c r="I421" t="s">
        <v>11</v>
      </c>
    </row>
    <row r="422" spans="1:9" x14ac:dyDescent="0.2">
      <c r="A422" t="s">
        <v>21</v>
      </c>
      <c r="B422" t="s">
        <v>10</v>
      </c>
      <c r="C422" s="3">
        <v>43493</v>
      </c>
      <c r="D422" s="3">
        <v>43493</v>
      </c>
      <c r="E422" s="3">
        <v>43500</v>
      </c>
      <c r="G422">
        <v>9720</v>
      </c>
      <c r="H422">
        <v>11275.2</v>
      </c>
      <c r="I422" t="s">
        <v>11</v>
      </c>
    </row>
    <row r="423" spans="1:9" x14ac:dyDescent="0.2">
      <c r="A423" t="s">
        <v>41</v>
      </c>
      <c r="B423" t="s">
        <v>10</v>
      </c>
      <c r="C423" s="3">
        <v>43490</v>
      </c>
      <c r="D423" s="3">
        <v>43490</v>
      </c>
      <c r="E423" s="3">
        <v>43498</v>
      </c>
      <c r="G423">
        <v>7440.07</v>
      </c>
      <c r="H423">
        <v>8630.48</v>
      </c>
      <c r="I423" t="s">
        <v>11</v>
      </c>
    </row>
    <row r="424" spans="1:9" x14ac:dyDescent="0.2">
      <c r="A424" t="s">
        <v>41</v>
      </c>
      <c r="B424" t="s">
        <v>10</v>
      </c>
      <c r="C424" s="3">
        <v>43489</v>
      </c>
      <c r="D424" s="3">
        <v>43489</v>
      </c>
      <c r="E424" s="3">
        <v>43497</v>
      </c>
      <c r="G424">
        <v>7460.7</v>
      </c>
      <c r="H424">
        <v>8654.41</v>
      </c>
      <c r="I424" t="s">
        <v>11</v>
      </c>
    </row>
    <row r="425" spans="1:9" x14ac:dyDescent="0.2">
      <c r="A425" t="s">
        <v>13</v>
      </c>
      <c r="B425" t="s">
        <v>10</v>
      </c>
      <c r="C425" s="3">
        <v>43489</v>
      </c>
      <c r="D425" s="3">
        <v>43489</v>
      </c>
      <c r="E425" s="3">
        <v>43519</v>
      </c>
      <c r="G425">
        <v>1548</v>
      </c>
      <c r="H425">
        <v>1795.68</v>
      </c>
      <c r="I425" t="s">
        <v>11</v>
      </c>
    </row>
    <row r="426" spans="1:9" x14ac:dyDescent="0.2">
      <c r="A426" t="s">
        <v>41</v>
      </c>
      <c r="B426" t="s">
        <v>10</v>
      </c>
      <c r="C426" s="3">
        <v>43488</v>
      </c>
      <c r="D426" s="3">
        <v>43488</v>
      </c>
      <c r="E426" s="3">
        <v>43496</v>
      </c>
      <c r="G426">
        <v>17501.2</v>
      </c>
      <c r="H426">
        <v>20301.400000000001</v>
      </c>
      <c r="I426" t="s">
        <v>11</v>
      </c>
    </row>
    <row r="427" spans="1:9" x14ac:dyDescent="0.2">
      <c r="A427" t="s">
        <v>19</v>
      </c>
      <c r="B427" t="s">
        <v>10</v>
      </c>
      <c r="C427" s="3">
        <v>43486</v>
      </c>
      <c r="D427" s="3">
        <v>43483</v>
      </c>
      <c r="E427" s="3">
        <v>43501</v>
      </c>
      <c r="G427">
        <v>28538</v>
      </c>
      <c r="H427">
        <v>33104</v>
      </c>
      <c r="I427" t="s">
        <v>11</v>
      </c>
    </row>
    <row r="428" spans="1:9" x14ac:dyDescent="0.2">
      <c r="A428" t="s">
        <v>19</v>
      </c>
      <c r="B428" t="s">
        <v>10</v>
      </c>
      <c r="C428" s="3">
        <v>43486</v>
      </c>
      <c r="D428" s="3">
        <v>43482</v>
      </c>
      <c r="E428" s="3">
        <v>43501</v>
      </c>
      <c r="G428">
        <v>48770</v>
      </c>
      <c r="H428">
        <v>56573.2</v>
      </c>
      <c r="I428" t="s">
        <v>11</v>
      </c>
    </row>
    <row r="429" spans="1:9" x14ac:dyDescent="0.2">
      <c r="A429" t="s">
        <v>41</v>
      </c>
      <c r="B429" t="s">
        <v>10</v>
      </c>
      <c r="C429" s="3">
        <v>43483</v>
      </c>
      <c r="D429" s="3">
        <v>43483</v>
      </c>
      <c r="E429" s="3">
        <v>43491</v>
      </c>
      <c r="G429">
        <v>14546.3</v>
      </c>
      <c r="H429">
        <v>16873.7</v>
      </c>
      <c r="I429" t="s">
        <v>11</v>
      </c>
    </row>
    <row r="430" spans="1:9" x14ac:dyDescent="0.2">
      <c r="A430" t="s">
        <v>41</v>
      </c>
      <c r="B430" t="s">
        <v>10</v>
      </c>
      <c r="C430" s="3">
        <v>43480</v>
      </c>
      <c r="D430" s="3">
        <v>43480</v>
      </c>
      <c r="E430" s="3">
        <v>43488</v>
      </c>
      <c r="G430">
        <v>11433.7</v>
      </c>
      <c r="H430">
        <v>13263.1</v>
      </c>
      <c r="I430" t="s">
        <v>11</v>
      </c>
    </row>
    <row r="431" spans="1:9" x14ac:dyDescent="0.2">
      <c r="A431" t="s">
        <v>22</v>
      </c>
      <c r="B431" t="s">
        <v>10</v>
      </c>
      <c r="C431" s="3">
        <v>43476</v>
      </c>
      <c r="D431" s="3">
        <v>43476</v>
      </c>
      <c r="E431" s="3">
        <v>43506</v>
      </c>
      <c r="G431">
        <v>2425.5</v>
      </c>
      <c r="H431">
        <v>2813.58</v>
      </c>
      <c r="I431" t="s">
        <v>11</v>
      </c>
    </row>
    <row r="432" spans="1:9" x14ac:dyDescent="0.2">
      <c r="A432" t="s">
        <v>18</v>
      </c>
      <c r="B432" t="s">
        <v>10</v>
      </c>
      <c r="C432" s="3">
        <v>43476</v>
      </c>
      <c r="D432" s="3">
        <v>43474</v>
      </c>
      <c r="E432" s="3">
        <v>43506</v>
      </c>
      <c r="G432">
        <v>25932</v>
      </c>
      <c r="H432">
        <v>30081.1</v>
      </c>
      <c r="I432" t="s">
        <v>11</v>
      </c>
    </row>
    <row r="433" spans="1:9" x14ac:dyDescent="0.2">
      <c r="A433" t="s">
        <v>41</v>
      </c>
      <c r="B433" t="s">
        <v>10</v>
      </c>
      <c r="C433" s="3">
        <v>43475</v>
      </c>
      <c r="D433" s="3">
        <v>43475</v>
      </c>
      <c r="E433" s="3">
        <v>43483</v>
      </c>
      <c r="G433">
        <v>6966</v>
      </c>
      <c r="H433">
        <v>8080.56</v>
      </c>
      <c r="I433" t="s">
        <v>11</v>
      </c>
    </row>
    <row r="434" spans="1:9" x14ac:dyDescent="0.2">
      <c r="A434" t="s">
        <v>41</v>
      </c>
      <c r="B434" t="s">
        <v>10</v>
      </c>
      <c r="C434" s="3">
        <v>43475</v>
      </c>
      <c r="D434" s="3">
        <v>43475</v>
      </c>
      <c r="E434" s="3">
        <v>43483</v>
      </c>
      <c r="G434">
        <v>1741.5</v>
      </c>
      <c r="H434">
        <v>2020.14</v>
      </c>
      <c r="I434" t="s">
        <v>11</v>
      </c>
    </row>
    <row r="435" spans="1:9" x14ac:dyDescent="0.2">
      <c r="A435" t="s">
        <v>41</v>
      </c>
      <c r="B435" t="s">
        <v>10</v>
      </c>
      <c r="C435" s="3">
        <v>43475</v>
      </c>
      <c r="D435" s="3">
        <v>43475</v>
      </c>
      <c r="E435" s="3">
        <v>43483</v>
      </c>
      <c r="G435">
        <v>35410.5</v>
      </c>
      <c r="H435">
        <v>41076.1</v>
      </c>
      <c r="I435" t="s">
        <v>11</v>
      </c>
    </row>
    <row r="436" spans="1:9" x14ac:dyDescent="0.2">
      <c r="A436" t="s">
        <v>41</v>
      </c>
      <c r="B436" t="s">
        <v>14</v>
      </c>
      <c r="C436" s="3">
        <v>43475</v>
      </c>
      <c r="D436" s="3">
        <v>43475</v>
      </c>
      <c r="E436" s="3">
        <v>43483</v>
      </c>
      <c r="F436" s="3">
        <v>43475</v>
      </c>
      <c r="G436">
        <v>13003.2</v>
      </c>
      <c r="H436">
        <v>15083.7</v>
      </c>
      <c r="I436" t="s">
        <v>11</v>
      </c>
    </row>
    <row r="437" spans="1:9" x14ac:dyDescent="0.2">
      <c r="A437" t="s">
        <v>20</v>
      </c>
      <c r="B437" t="s">
        <v>10</v>
      </c>
      <c r="C437" s="3">
        <v>43475</v>
      </c>
      <c r="D437" s="3">
        <v>43475</v>
      </c>
      <c r="E437" s="3">
        <v>43520</v>
      </c>
      <c r="G437">
        <v>37716</v>
      </c>
      <c r="H437">
        <v>43750.5</v>
      </c>
      <c r="I437" t="s">
        <v>11</v>
      </c>
    </row>
    <row r="438" spans="1:9" x14ac:dyDescent="0.2">
      <c r="A438" t="s">
        <v>9</v>
      </c>
      <c r="B438" t="s">
        <v>10</v>
      </c>
      <c r="C438" s="3">
        <v>43474</v>
      </c>
      <c r="D438" s="3">
        <v>43474</v>
      </c>
      <c r="E438" s="3">
        <v>43481</v>
      </c>
      <c r="G438">
        <v>1950</v>
      </c>
      <c r="H438">
        <v>2262</v>
      </c>
      <c r="I438" t="s">
        <v>11</v>
      </c>
    </row>
    <row r="439" spans="1:9" x14ac:dyDescent="0.2">
      <c r="A439" t="s">
        <v>42</v>
      </c>
      <c r="B439" t="s">
        <v>10</v>
      </c>
      <c r="C439" s="3">
        <v>43473</v>
      </c>
      <c r="D439" s="3">
        <v>43473</v>
      </c>
      <c r="E439" s="3">
        <v>43473</v>
      </c>
      <c r="G439">
        <v>11200</v>
      </c>
      <c r="H439">
        <v>12992</v>
      </c>
      <c r="I439" t="s">
        <v>11</v>
      </c>
    </row>
    <row r="440" spans="1:9" x14ac:dyDescent="0.2">
      <c r="A440" t="s">
        <v>18</v>
      </c>
      <c r="B440" t="s">
        <v>10</v>
      </c>
      <c r="C440" s="3">
        <v>43473</v>
      </c>
      <c r="D440" s="3">
        <v>43473</v>
      </c>
      <c r="E440" s="3">
        <v>43503</v>
      </c>
      <c r="G440">
        <v>19896</v>
      </c>
      <c r="H440">
        <v>23079.3</v>
      </c>
      <c r="I440" t="s">
        <v>11</v>
      </c>
    </row>
    <row r="441" spans="1:9" x14ac:dyDescent="0.2">
      <c r="A441" t="s">
        <v>21</v>
      </c>
      <c r="B441" t="s">
        <v>10</v>
      </c>
      <c r="C441" s="3">
        <v>43472</v>
      </c>
      <c r="D441" s="3">
        <v>43472</v>
      </c>
      <c r="E441" s="3">
        <v>43479</v>
      </c>
      <c r="G441">
        <v>11320</v>
      </c>
      <c r="H441">
        <v>13131.2</v>
      </c>
      <c r="I441" t="s">
        <v>11</v>
      </c>
    </row>
    <row r="442" spans="1:9" x14ac:dyDescent="0.2">
      <c r="A442" t="s">
        <v>21</v>
      </c>
      <c r="B442" t="s">
        <v>10</v>
      </c>
      <c r="C442" s="3">
        <v>43472</v>
      </c>
      <c r="D442" s="3">
        <v>43472</v>
      </c>
      <c r="E442" s="3">
        <v>43479</v>
      </c>
      <c r="G442">
        <v>9150</v>
      </c>
      <c r="H442">
        <v>10614</v>
      </c>
      <c r="I442" t="s">
        <v>11</v>
      </c>
    </row>
    <row r="443" spans="1:9" x14ac:dyDescent="0.2">
      <c r="A443" t="s">
        <v>18</v>
      </c>
      <c r="B443" t="s">
        <v>10</v>
      </c>
      <c r="C443" s="3">
        <v>43472</v>
      </c>
      <c r="D443" s="3">
        <v>43472</v>
      </c>
      <c r="E443" s="3">
        <v>43502</v>
      </c>
      <c r="G443">
        <v>36696</v>
      </c>
      <c r="H443">
        <v>42567.3</v>
      </c>
      <c r="I443" t="s">
        <v>11</v>
      </c>
    </row>
    <row r="444" spans="1:9" x14ac:dyDescent="0.2">
      <c r="A444" t="s">
        <v>25</v>
      </c>
      <c r="B444" t="s">
        <v>10</v>
      </c>
      <c r="C444" s="3">
        <v>43468</v>
      </c>
      <c r="D444" s="3">
        <v>43468</v>
      </c>
      <c r="E444" s="3">
        <v>43498</v>
      </c>
      <c r="G444">
        <v>7532</v>
      </c>
      <c r="H444">
        <v>8737.1200000000008</v>
      </c>
      <c r="I444" t="s">
        <v>11</v>
      </c>
    </row>
    <row r="445" spans="1:9" x14ac:dyDescent="0.2">
      <c r="A445" t="s">
        <v>40</v>
      </c>
      <c r="B445" t="s">
        <v>10</v>
      </c>
      <c r="C445" s="3">
        <v>43467</v>
      </c>
      <c r="D445" s="3">
        <v>43467</v>
      </c>
      <c r="E445" s="3">
        <v>43482</v>
      </c>
      <c r="G445">
        <v>23200</v>
      </c>
      <c r="H445">
        <v>26912</v>
      </c>
      <c r="I445" t="s">
        <v>11</v>
      </c>
    </row>
    <row r="446" spans="1:9" x14ac:dyDescent="0.2">
      <c r="A446" t="s">
        <v>41</v>
      </c>
      <c r="B446" t="s">
        <v>10</v>
      </c>
      <c r="C446" s="3">
        <v>43453</v>
      </c>
      <c r="D446" s="3">
        <v>43453</v>
      </c>
      <c r="E446" s="3">
        <v>43461</v>
      </c>
      <c r="G446">
        <v>4042.11</v>
      </c>
      <c r="H446">
        <v>4688.8500000000004</v>
      </c>
      <c r="I446" t="s">
        <v>11</v>
      </c>
    </row>
    <row r="447" spans="1:9" x14ac:dyDescent="0.2">
      <c r="A447" t="s">
        <v>41</v>
      </c>
      <c r="B447" t="s">
        <v>10</v>
      </c>
      <c r="C447" s="3">
        <v>43453</v>
      </c>
      <c r="D447" s="3">
        <v>43453</v>
      </c>
      <c r="E447" s="3">
        <v>43461</v>
      </c>
      <c r="G447">
        <v>3619.8</v>
      </c>
      <c r="H447">
        <v>4198.97</v>
      </c>
      <c r="I447" t="s">
        <v>11</v>
      </c>
    </row>
    <row r="448" spans="1:9" x14ac:dyDescent="0.2">
      <c r="A448" t="s">
        <v>41</v>
      </c>
      <c r="B448" t="s">
        <v>10</v>
      </c>
      <c r="C448" s="3">
        <v>43453</v>
      </c>
      <c r="D448" s="3">
        <v>43453</v>
      </c>
      <c r="E448" s="3">
        <v>43461</v>
      </c>
      <c r="G448">
        <v>24614.6</v>
      </c>
      <c r="H448">
        <v>28552.9</v>
      </c>
      <c r="I448" t="s">
        <v>11</v>
      </c>
    </row>
    <row r="449" spans="1:9" x14ac:dyDescent="0.2">
      <c r="A449" t="s">
        <v>41</v>
      </c>
      <c r="B449" t="s">
        <v>10</v>
      </c>
      <c r="C449" s="3">
        <v>43453</v>
      </c>
      <c r="D449" s="3">
        <v>43453</v>
      </c>
      <c r="E449" s="3">
        <v>43461</v>
      </c>
      <c r="G449">
        <v>17354.900000000001</v>
      </c>
      <c r="H449">
        <v>20131.7</v>
      </c>
      <c r="I449" t="s">
        <v>11</v>
      </c>
    </row>
    <row r="450" spans="1:9" x14ac:dyDescent="0.2">
      <c r="A450" t="s">
        <v>41</v>
      </c>
      <c r="B450" t="s">
        <v>10</v>
      </c>
      <c r="C450" s="3">
        <v>43453</v>
      </c>
      <c r="D450" s="3">
        <v>43453</v>
      </c>
      <c r="E450" s="3">
        <v>43461</v>
      </c>
      <c r="G450">
        <v>28113.7</v>
      </c>
      <c r="H450">
        <v>32611.9</v>
      </c>
      <c r="I450" t="s">
        <v>11</v>
      </c>
    </row>
    <row r="451" spans="1:9" x14ac:dyDescent="0.2">
      <c r="A451" t="s">
        <v>41</v>
      </c>
      <c r="B451" t="s">
        <v>10</v>
      </c>
      <c r="C451" s="3">
        <v>43453</v>
      </c>
      <c r="D451" s="3">
        <v>43453</v>
      </c>
      <c r="E451" s="3">
        <v>43461</v>
      </c>
      <c r="G451">
        <v>20431.7</v>
      </c>
      <c r="H451">
        <v>23700.799999999999</v>
      </c>
      <c r="I451" t="s">
        <v>11</v>
      </c>
    </row>
    <row r="452" spans="1:9" x14ac:dyDescent="0.2">
      <c r="A452" t="s">
        <v>25</v>
      </c>
      <c r="B452" t="s">
        <v>10</v>
      </c>
      <c r="C452" s="3">
        <v>43453</v>
      </c>
      <c r="D452" s="3">
        <v>43453</v>
      </c>
      <c r="E452" s="3">
        <v>43483</v>
      </c>
      <c r="G452">
        <v>22833.4</v>
      </c>
      <c r="H452">
        <v>26486.7</v>
      </c>
      <c r="I452" t="s">
        <v>11</v>
      </c>
    </row>
    <row r="453" spans="1:9" x14ac:dyDescent="0.2">
      <c r="A453" t="s">
        <v>21</v>
      </c>
      <c r="B453" t="s">
        <v>14</v>
      </c>
      <c r="C453" s="3">
        <v>43452</v>
      </c>
      <c r="D453" s="3">
        <v>43452</v>
      </c>
      <c r="E453" s="3">
        <v>43459</v>
      </c>
      <c r="F453" s="3">
        <v>43453</v>
      </c>
      <c r="G453">
        <v>9150</v>
      </c>
      <c r="H453">
        <v>10614</v>
      </c>
      <c r="I453" t="s">
        <v>11</v>
      </c>
    </row>
    <row r="454" spans="1:9" x14ac:dyDescent="0.2">
      <c r="A454" t="s">
        <v>41</v>
      </c>
      <c r="B454" t="s">
        <v>10</v>
      </c>
      <c r="C454" s="3">
        <v>43451</v>
      </c>
      <c r="D454" s="3">
        <v>43448</v>
      </c>
      <c r="E454" s="3">
        <v>43459</v>
      </c>
      <c r="G454">
        <v>13857.8</v>
      </c>
      <c r="H454">
        <v>16075</v>
      </c>
      <c r="I454" t="s">
        <v>11</v>
      </c>
    </row>
    <row r="455" spans="1:9" x14ac:dyDescent="0.2">
      <c r="A455" t="s">
        <v>41</v>
      </c>
      <c r="B455" t="s">
        <v>14</v>
      </c>
      <c r="C455" s="3">
        <v>43451</v>
      </c>
      <c r="D455" s="3">
        <v>43448</v>
      </c>
      <c r="E455" s="3">
        <v>43459</v>
      </c>
      <c r="F455" s="3">
        <v>43451</v>
      </c>
      <c r="G455">
        <v>6168.16</v>
      </c>
      <c r="H455">
        <v>7153.61</v>
      </c>
      <c r="I455" t="s">
        <v>11</v>
      </c>
    </row>
    <row r="456" spans="1:9" x14ac:dyDescent="0.2">
      <c r="A456" t="s">
        <v>41</v>
      </c>
      <c r="B456" t="s">
        <v>10</v>
      </c>
      <c r="C456" s="3">
        <v>43448</v>
      </c>
      <c r="D456" s="3">
        <v>43448</v>
      </c>
      <c r="E456" s="3">
        <v>43456</v>
      </c>
      <c r="G456">
        <v>28162.5</v>
      </c>
      <c r="H456">
        <v>32668.5</v>
      </c>
      <c r="I456" t="s">
        <v>11</v>
      </c>
    </row>
    <row r="457" spans="1:9" x14ac:dyDescent="0.2">
      <c r="A457" t="s">
        <v>41</v>
      </c>
      <c r="B457" t="s">
        <v>10</v>
      </c>
      <c r="C457" s="3">
        <v>43448</v>
      </c>
      <c r="D457" s="3">
        <v>43448</v>
      </c>
      <c r="E457" s="3">
        <v>43456</v>
      </c>
      <c r="G457">
        <v>34817.599999999999</v>
      </c>
      <c r="H457">
        <v>40388.400000000001</v>
      </c>
      <c r="I457" t="s">
        <v>11</v>
      </c>
    </row>
    <row r="458" spans="1:9" x14ac:dyDescent="0.2">
      <c r="A458" t="s">
        <v>20</v>
      </c>
      <c r="B458" t="s">
        <v>10</v>
      </c>
      <c r="C458" s="3">
        <v>43447</v>
      </c>
      <c r="D458" s="3">
        <v>43447</v>
      </c>
      <c r="E458" s="3">
        <v>43492</v>
      </c>
      <c r="G458">
        <v>29067</v>
      </c>
      <c r="H458">
        <v>33717.699999999997</v>
      </c>
      <c r="I458" t="s">
        <v>11</v>
      </c>
    </row>
    <row r="459" spans="1:9" x14ac:dyDescent="0.2">
      <c r="A459" t="s">
        <v>21</v>
      </c>
      <c r="B459" t="s">
        <v>10</v>
      </c>
      <c r="C459" s="3">
        <v>43447</v>
      </c>
      <c r="D459" s="3">
        <v>43447</v>
      </c>
      <c r="E459" s="3">
        <v>43454</v>
      </c>
      <c r="G459">
        <v>10240</v>
      </c>
      <c r="H459">
        <v>11878.4</v>
      </c>
      <c r="I459" t="s">
        <v>11</v>
      </c>
    </row>
    <row r="460" spans="1:9" x14ac:dyDescent="0.2">
      <c r="A460" t="s">
        <v>21</v>
      </c>
      <c r="B460" t="s">
        <v>10</v>
      </c>
      <c r="C460" s="3">
        <v>43447</v>
      </c>
      <c r="D460" s="3">
        <v>43447</v>
      </c>
      <c r="E460" s="3">
        <v>43454</v>
      </c>
      <c r="G460">
        <v>12518</v>
      </c>
      <c r="H460">
        <v>14520.8</v>
      </c>
      <c r="I460" t="s">
        <v>11</v>
      </c>
    </row>
    <row r="461" spans="1:9" x14ac:dyDescent="0.2">
      <c r="A461" t="s">
        <v>37</v>
      </c>
      <c r="B461" t="s">
        <v>10</v>
      </c>
      <c r="C461" s="3">
        <v>43447</v>
      </c>
      <c r="D461" s="3">
        <v>43447</v>
      </c>
      <c r="E461" s="3">
        <v>43507</v>
      </c>
      <c r="G461">
        <v>456090</v>
      </c>
      <c r="H461">
        <v>529064</v>
      </c>
      <c r="I461" t="s">
        <v>11</v>
      </c>
    </row>
    <row r="462" spans="1:9" x14ac:dyDescent="0.2">
      <c r="A462" t="s">
        <v>41</v>
      </c>
      <c r="B462" t="s">
        <v>10</v>
      </c>
      <c r="C462" s="3">
        <v>43447</v>
      </c>
      <c r="D462" s="3">
        <v>43447</v>
      </c>
      <c r="E462" s="3">
        <v>43455</v>
      </c>
      <c r="G462">
        <v>7818.24</v>
      </c>
      <c r="H462">
        <v>9069.16</v>
      </c>
      <c r="I462" t="s">
        <v>11</v>
      </c>
    </row>
    <row r="463" spans="1:9" x14ac:dyDescent="0.2">
      <c r="A463" t="s">
        <v>20</v>
      </c>
      <c r="B463" t="s">
        <v>10</v>
      </c>
      <c r="C463" s="3">
        <v>43445</v>
      </c>
      <c r="D463" s="3">
        <v>43445</v>
      </c>
      <c r="E463" s="3">
        <v>43490</v>
      </c>
      <c r="G463">
        <v>3660</v>
      </c>
      <c r="H463">
        <v>4245.6000000000004</v>
      </c>
      <c r="I463" t="s">
        <v>11</v>
      </c>
    </row>
    <row r="464" spans="1:9" x14ac:dyDescent="0.2">
      <c r="A464" t="s">
        <v>18</v>
      </c>
      <c r="B464" t="s">
        <v>10</v>
      </c>
      <c r="C464" s="3">
        <v>43445</v>
      </c>
      <c r="D464" s="3">
        <v>43445</v>
      </c>
      <c r="E464" s="3">
        <v>43475</v>
      </c>
      <c r="G464">
        <v>17424</v>
      </c>
      <c r="H464">
        <v>20211.8</v>
      </c>
      <c r="I464" t="s">
        <v>11</v>
      </c>
    </row>
    <row r="465" spans="1:9" x14ac:dyDescent="0.2">
      <c r="A465" t="s">
        <v>41</v>
      </c>
      <c r="B465" t="s">
        <v>10</v>
      </c>
      <c r="C465" s="3">
        <v>43441</v>
      </c>
      <c r="D465" s="3">
        <v>43441</v>
      </c>
      <c r="E465" s="3">
        <v>43449</v>
      </c>
      <c r="G465">
        <v>3805.45</v>
      </c>
      <c r="H465">
        <v>4414.32</v>
      </c>
      <c r="I465" t="s">
        <v>11</v>
      </c>
    </row>
    <row r="466" spans="1:9" x14ac:dyDescent="0.2">
      <c r="A466" t="s">
        <v>19</v>
      </c>
      <c r="B466" t="s">
        <v>10</v>
      </c>
      <c r="C466" s="3">
        <v>43440</v>
      </c>
      <c r="D466" s="3">
        <v>43440</v>
      </c>
      <c r="E466" s="3">
        <v>43455</v>
      </c>
      <c r="G466">
        <v>800</v>
      </c>
      <c r="H466">
        <v>928</v>
      </c>
      <c r="I466" t="s">
        <v>11</v>
      </c>
    </row>
    <row r="467" spans="1:9" x14ac:dyDescent="0.2">
      <c r="A467" t="s">
        <v>41</v>
      </c>
      <c r="B467" t="s">
        <v>10</v>
      </c>
      <c r="C467" s="3">
        <v>43440</v>
      </c>
      <c r="D467" s="3">
        <v>43440</v>
      </c>
      <c r="E467" s="3">
        <v>43448</v>
      </c>
      <c r="G467">
        <v>23094.2</v>
      </c>
      <c r="H467">
        <v>26789.3</v>
      </c>
      <c r="I467" t="s">
        <v>11</v>
      </c>
    </row>
    <row r="468" spans="1:9" x14ac:dyDescent="0.2">
      <c r="A468" t="s">
        <v>19</v>
      </c>
      <c r="B468" t="s">
        <v>14</v>
      </c>
      <c r="C468" s="3">
        <v>43440</v>
      </c>
      <c r="D468" s="3">
        <v>43440</v>
      </c>
      <c r="E468" s="3">
        <v>43455</v>
      </c>
      <c r="F468" s="3">
        <v>43440</v>
      </c>
      <c r="G468">
        <v>880</v>
      </c>
      <c r="H468">
        <v>1020.8</v>
      </c>
      <c r="I468" t="s">
        <v>11</v>
      </c>
    </row>
    <row r="469" spans="1:9" x14ac:dyDescent="0.2">
      <c r="A469" t="s">
        <v>41</v>
      </c>
      <c r="B469" t="s">
        <v>14</v>
      </c>
      <c r="C469" s="3">
        <v>43440</v>
      </c>
      <c r="D469" s="3">
        <v>43440</v>
      </c>
      <c r="E469" s="3">
        <v>43448</v>
      </c>
      <c r="F469" s="3">
        <v>43440</v>
      </c>
      <c r="G469">
        <v>3358.18</v>
      </c>
      <c r="H469">
        <v>3895.49</v>
      </c>
      <c r="I469" t="s">
        <v>11</v>
      </c>
    </row>
    <row r="470" spans="1:9" x14ac:dyDescent="0.2">
      <c r="A470" t="s">
        <v>41</v>
      </c>
      <c r="B470" t="s">
        <v>10</v>
      </c>
      <c r="C470" s="3">
        <v>43439</v>
      </c>
      <c r="D470" s="3">
        <v>43439</v>
      </c>
      <c r="E470" s="3">
        <v>43447</v>
      </c>
      <c r="G470">
        <v>35463.1</v>
      </c>
      <c r="H470">
        <v>41137.300000000003</v>
      </c>
      <c r="I470" t="s">
        <v>11</v>
      </c>
    </row>
    <row r="471" spans="1:9" x14ac:dyDescent="0.2">
      <c r="A471" t="s">
        <v>41</v>
      </c>
      <c r="B471" t="s">
        <v>10</v>
      </c>
      <c r="C471" s="3">
        <v>43439</v>
      </c>
      <c r="D471" s="3">
        <v>43439</v>
      </c>
      <c r="E471" s="3">
        <v>43447</v>
      </c>
      <c r="G471">
        <v>15759.1</v>
      </c>
      <c r="H471">
        <v>18280.599999999999</v>
      </c>
      <c r="I471" t="s">
        <v>11</v>
      </c>
    </row>
    <row r="472" spans="1:9" x14ac:dyDescent="0.2">
      <c r="A472" t="s">
        <v>18</v>
      </c>
      <c r="B472" t="s">
        <v>10</v>
      </c>
      <c r="C472" s="3">
        <v>43438</v>
      </c>
      <c r="D472" s="3">
        <v>43438</v>
      </c>
      <c r="E472" s="3">
        <v>43468</v>
      </c>
      <c r="G472">
        <v>644</v>
      </c>
      <c r="H472">
        <v>747.04</v>
      </c>
      <c r="I472" t="s">
        <v>11</v>
      </c>
    </row>
    <row r="473" spans="1:9" x14ac:dyDescent="0.2">
      <c r="A473" t="s">
        <v>19</v>
      </c>
      <c r="B473" t="s">
        <v>10</v>
      </c>
      <c r="C473" s="3">
        <v>43438</v>
      </c>
      <c r="D473" s="3">
        <v>43438</v>
      </c>
      <c r="E473" s="3">
        <v>43453</v>
      </c>
      <c r="G473">
        <v>1636</v>
      </c>
      <c r="H473">
        <v>1897.76</v>
      </c>
      <c r="I473" t="s">
        <v>11</v>
      </c>
    </row>
    <row r="474" spans="1:9" x14ac:dyDescent="0.2">
      <c r="A474" t="s">
        <v>18</v>
      </c>
      <c r="B474" t="s">
        <v>10</v>
      </c>
      <c r="C474" s="3">
        <v>43438</v>
      </c>
      <c r="D474" s="3">
        <v>43438</v>
      </c>
      <c r="E474" s="3">
        <v>43468</v>
      </c>
      <c r="G474">
        <v>8100</v>
      </c>
      <c r="H474">
        <v>9396</v>
      </c>
      <c r="I474" t="s">
        <v>11</v>
      </c>
    </row>
    <row r="475" spans="1:9" x14ac:dyDescent="0.2">
      <c r="A475" t="s">
        <v>18</v>
      </c>
      <c r="B475" t="s">
        <v>10</v>
      </c>
      <c r="C475" s="3">
        <v>43437</v>
      </c>
      <c r="D475" s="3">
        <v>43437</v>
      </c>
      <c r="E475" s="3">
        <v>43467</v>
      </c>
      <c r="G475">
        <v>29876</v>
      </c>
      <c r="H475">
        <v>34656.1</v>
      </c>
      <c r="I475" t="s">
        <v>11</v>
      </c>
    </row>
    <row r="476" spans="1:9" x14ac:dyDescent="0.2">
      <c r="A476" t="s">
        <v>18</v>
      </c>
      <c r="B476" t="s">
        <v>10</v>
      </c>
      <c r="C476" s="3">
        <v>43437</v>
      </c>
      <c r="D476" s="3">
        <v>43437</v>
      </c>
      <c r="E476" s="3">
        <v>43467</v>
      </c>
      <c r="G476">
        <v>16532</v>
      </c>
      <c r="H476">
        <v>19177.099999999999</v>
      </c>
      <c r="I476" t="s">
        <v>11</v>
      </c>
    </row>
    <row r="477" spans="1:9" x14ac:dyDescent="0.2">
      <c r="A477" t="s">
        <v>20</v>
      </c>
      <c r="B477" t="s">
        <v>10</v>
      </c>
      <c r="C477" s="3">
        <v>43437</v>
      </c>
      <c r="D477" s="3">
        <v>43437</v>
      </c>
      <c r="E477" s="3">
        <v>43482</v>
      </c>
      <c r="G477">
        <v>21540</v>
      </c>
      <c r="H477">
        <v>24986.400000000001</v>
      </c>
      <c r="I477" t="s">
        <v>11</v>
      </c>
    </row>
    <row r="478" spans="1:9" x14ac:dyDescent="0.2">
      <c r="A478" t="s">
        <v>41</v>
      </c>
      <c r="B478" t="s">
        <v>10</v>
      </c>
      <c r="C478" s="3">
        <v>43434</v>
      </c>
      <c r="D478" s="3">
        <v>43434</v>
      </c>
      <c r="E478" s="3">
        <v>43442</v>
      </c>
      <c r="G478">
        <v>27451.4</v>
      </c>
      <c r="H478">
        <v>31843.599999999999</v>
      </c>
      <c r="I478" t="s">
        <v>11</v>
      </c>
    </row>
    <row r="479" spans="1:9" x14ac:dyDescent="0.2">
      <c r="A479" t="s">
        <v>19</v>
      </c>
      <c r="B479" t="s">
        <v>10</v>
      </c>
      <c r="C479" s="3">
        <v>43434</v>
      </c>
      <c r="D479" s="3">
        <v>43434</v>
      </c>
      <c r="E479" s="3">
        <v>43449</v>
      </c>
      <c r="G479">
        <v>7512</v>
      </c>
      <c r="H479">
        <v>8713.92</v>
      </c>
      <c r="I479" t="s">
        <v>11</v>
      </c>
    </row>
    <row r="480" spans="1:9" x14ac:dyDescent="0.2">
      <c r="A480" t="s">
        <v>41</v>
      </c>
      <c r="B480" t="s">
        <v>10</v>
      </c>
      <c r="C480" s="3">
        <v>43433</v>
      </c>
      <c r="D480" s="3">
        <v>43433</v>
      </c>
      <c r="E480" s="3">
        <v>43441</v>
      </c>
      <c r="G480">
        <v>5830.52</v>
      </c>
      <c r="H480">
        <v>6763.4</v>
      </c>
      <c r="I480" t="s">
        <v>11</v>
      </c>
    </row>
    <row r="481" spans="1:9" x14ac:dyDescent="0.2">
      <c r="A481" t="s">
        <v>25</v>
      </c>
      <c r="B481" t="s">
        <v>10</v>
      </c>
      <c r="C481" s="3">
        <v>43433</v>
      </c>
      <c r="D481" s="3">
        <v>43433</v>
      </c>
      <c r="E481" s="3">
        <v>43463</v>
      </c>
      <c r="G481">
        <v>15990</v>
      </c>
      <c r="H481">
        <v>18548.400000000001</v>
      </c>
      <c r="I481" t="s">
        <v>11</v>
      </c>
    </row>
    <row r="482" spans="1:9" x14ac:dyDescent="0.2">
      <c r="A482" t="s">
        <v>21</v>
      </c>
      <c r="B482" t="s">
        <v>29</v>
      </c>
      <c r="C482" s="3">
        <v>43432</v>
      </c>
      <c r="D482" s="3">
        <v>43432</v>
      </c>
      <c r="E482" s="3">
        <v>43439</v>
      </c>
      <c r="G482">
        <v>10240</v>
      </c>
      <c r="H482">
        <v>11878.4</v>
      </c>
      <c r="I482" t="s">
        <v>11</v>
      </c>
    </row>
    <row r="483" spans="1:9" x14ac:dyDescent="0.2">
      <c r="A483" t="s">
        <v>18</v>
      </c>
      <c r="B483" t="s">
        <v>10</v>
      </c>
      <c r="C483" s="3">
        <v>43431</v>
      </c>
      <c r="D483" s="3">
        <v>43431</v>
      </c>
      <c r="E483" s="3">
        <v>43461</v>
      </c>
      <c r="G483">
        <v>13630</v>
      </c>
      <c r="H483">
        <v>15810.8</v>
      </c>
      <c r="I483" t="s">
        <v>11</v>
      </c>
    </row>
    <row r="484" spans="1:9" x14ac:dyDescent="0.2">
      <c r="A484" t="s">
        <v>19</v>
      </c>
      <c r="B484" t="s">
        <v>10</v>
      </c>
      <c r="C484" s="3">
        <v>43431</v>
      </c>
      <c r="D484" s="3">
        <v>43431</v>
      </c>
      <c r="E484" s="3">
        <v>43446</v>
      </c>
      <c r="G484">
        <v>29480</v>
      </c>
      <c r="H484">
        <v>34196.800000000003</v>
      </c>
      <c r="I484" t="s">
        <v>11</v>
      </c>
    </row>
    <row r="485" spans="1:9" x14ac:dyDescent="0.2">
      <c r="A485" t="s">
        <v>19</v>
      </c>
      <c r="B485" t="s">
        <v>10</v>
      </c>
      <c r="C485" s="3">
        <v>43431</v>
      </c>
      <c r="D485" s="3">
        <v>43431</v>
      </c>
      <c r="E485" s="3">
        <v>43446</v>
      </c>
      <c r="G485">
        <v>29480</v>
      </c>
      <c r="H485">
        <v>34196.800000000003</v>
      </c>
      <c r="I485" t="s">
        <v>11</v>
      </c>
    </row>
    <row r="486" spans="1:9" x14ac:dyDescent="0.2">
      <c r="A486" t="s">
        <v>19</v>
      </c>
      <c r="B486" t="s">
        <v>10</v>
      </c>
      <c r="C486" s="3">
        <v>43431</v>
      </c>
      <c r="D486" s="3">
        <v>43431</v>
      </c>
      <c r="E486" s="3">
        <v>43446</v>
      </c>
      <c r="G486">
        <v>34848</v>
      </c>
      <c r="H486">
        <v>40423.599999999999</v>
      </c>
      <c r="I486" t="s">
        <v>11</v>
      </c>
    </row>
    <row r="487" spans="1:9" x14ac:dyDescent="0.2">
      <c r="A487" t="s">
        <v>41</v>
      </c>
      <c r="B487" t="s">
        <v>10</v>
      </c>
      <c r="C487" s="3">
        <v>43431</v>
      </c>
      <c r="D487" s="3">
        <v>43431</v>
      </c>
      <c r="E487" s="3">
        <v>43439</v>
      </c>
      <c r="G487">
        <v>5505.3</v>
      </c>
      <c r="H487">
        <v>6386.15</v>
      </c>
      <c r="I487" t="s">
        <v>11</v>
      </c>
    </row>
    <row r="488" spans="1:9" x14ac:dyDescent="0.2">
      <c r="A488" t="s">
        <v>21</v>
      </c>
      <c r="B488" t="s">
        <v>14</v>
      </c>
      <c r="C488" s="3">
        <v>43430</v>
      </c>
      <c r="D488" s="3">
        <v>43430</v>
      </c>
      <c r="E488" s="3">
        <v>43437</v>
      </c>
      <c r="F488" s="3">
        <v>43432</v>
      </c>
      <c r="G488">
        <v>11220</v>
      </c>
      <c r="H488">
        <v>13015.2</v>
      </c>
      <c r="I488" t="s">
        <v>11</v>
      </c>
    </row>
    <row r="489" spans="1:9" x14ac:dyDescent="0.2">
      <c r="A489" t="s">
        <v>20</v>
      </c>
      <c r="B489" t="s">
        <v>10</v>
      </c>
      <c r="C489" s="3">
        <v>43430</v>
      </c>
      <c r="D489" s="3">
        <v>43430</v>
      </c>
      <c r="E489" s="3">
        <v>43475</v>
      </c>
      <c r="G489">
        <v>15060</v>
      </c>
      <c r="H489">
        <v>17469.599999999999</v>
      </c>
      <c r="I489" t="s">
        <v>11</v>
      </c>
    </row>
    <row r="490" spans="1:9" x14ac:dyDescent="0.2">
      <c r="A490" t="s">
        <v>21</v>
      </c>
      <c r="B490" t="s">
        <v>29</v>
      </c>
      <c r="C490" s="3">
        <v>43430</v>
      </c>
      <c r="D490" s="3">
        <v>43430</v>
      </c>
      <c r="E490" s="3">
        <v>43437</v>
      </c>
      <c r="G490">
        <v>12518</v>
      </c>
      <c r="H490">
        <v>14520.8</v>
      </c>
      <c r="I490" t="s">
        <v>11</v>
      </c>
    </row>
    <row r="491" spans="1:9" x14ac:dyDescent="0.2">
      <c r="A491" t="s">
        <v>18</v>
      </c>
      <c r="B491" t="s">
        <v>10</v>
      </c>
      <c r="C491" s="3">
        <v>43430</v>
      </c>
      <c r="D491" s="3">
        <v>43430</v>
      </c>
      <c r="E491" s="3">
        <v>43460</v>
      </c>
      <c r="G491">
        <v>5600</v>
      </c>
      <c r="H491">
        <v>6496</v>
      </c>
      <c r="I491" t="s">
        <v>11</v>
      </c>
    </row>
    <row r="492" spans="1:9" x14ac:dyDescent="0.2">
      <c r="A492" t="s">
        <v>18</v>
      </c>
      <c r="B492" t="s">
        <v>10</v>
      </c>
      <c r="C492" s="3">
        <v>43427</v>
      </c>
      <c r="D492" s="3">
        <v>43427</v>
      </c>
      <c r="E492" s="3">
        <v>43457</v>
      </c>
      <c r="G492">
        <v>7092</v>
      </c>
      <c r="H492">
        <v>8226.7199999999993</v>
      </c>
      <c r="I492" t="s">
        <v>11</v>
      </c>
    </row>
    <row r="493" spans="1:9" x14ac:dyDescent="0.2">
      <c r="A493" t="s">
        <v>18</v>
      </c>
      <c r="B493" t="s">
        <v>14</v>
      </c>
      <c r="C493" s="3">
        <v>43426</v>
      </c>
      <c r="D493" s="3">
        <v>43426</v>
      </c>
      <c r="E493" s="3">
        <v>43456</v>
      </c>
      <c r="F493" s="3">
        <v>43427</v>
      </c>
      <c r="G493">
        <v>6748</v>
      </c>
      <c r="H493">
        <v>7827.68</v>
      </c>
      <c r="I493" t="s">
        <v>11</v>
      </c>
    </row>
    <row r="494" spans="1:9" x14ac:dyDescent="0.2">
      <c r="A494" t="s">
        <v>18</v>
      </c>
      <c r="B494" t="s">
        <v>10</v>
      </c>
      <c r="C494" s="3">
        <v>43425</v>
      </c>
      <c r="D494" s="3">
        <v>43425</v>
      </c>
      <c r="E494" s="3">
        <v>43455</v>
      </c>
      <c r="G494">
        <v>7518</v>
      </c>
      <c r="H494">
        <v>8720.8799999999992</v>
      </c>
      <c r="I494" t="s">
        <v>11</v>
      </c>
    </row>
    <row r="495" spans="1:9" x14ac:dyDescent="0.2">
      <c r="A495" t="s">
        <v>18</v>
      </c>
      <c r="B495" t="s">
        <v>10</v>
      </c>
      <c r="C495" s="3">
        <v>43424</v>
      </c>
      <c r="D495" s="3">
        <v>43424</v>
      </c>
      <c r="E495" s="3">
        <v>43454</v>
      </c>
      <c r="G495">
        <v>8266</v>
      </c>
      <c r="H495">
        <v>9588.56</v>
      </c>
      <c r="I495" t="s">
        <v>11</v>
      </c>
    </row>
    <row r="496" spans="1:9" x14ac:dyDescent="0.2">
      <c r="A496" t="s">
        <v>22</v>
      </c>
      <c r="B496" t="s">
        <v>10</v>
      </c>
      <c r="C496" s="3">
        <v>43419</v>
      </c>
      <c r="D496" s="3">
        <v>43419</v>
      </c>
      <c r="E496" s="3">
        <v>43449</v>
      </c>
      <c r="G496">
        <v>125377</v>
      </c>
      <c r="H496">
        <v>145437</v>
      </c>
      <c r="I496" t="s">
        <v>11</v>
      </c>
    </row>
    <row r="497" spans="1:9" x14ac:dyDescent="0.2">
      <c r="A497" t="s">
        <v>22</v>
      </c>
      <c r="B497" t="s">
        <v>10</v>
      </c>
      <c r="C497" s="3">
        <v>43419</v>
      </c>
      <c r="D497" s="3">
        <v>43419</v>
      </c>
      <c r="E497" s="3">
        <v>43449</v>
      </c>
      <c r="G497">
        <v>3705</v>
      </c>
      <c r="H497">
        <v>4297.8</v>
      </c>
      <c r="I497" t="s">
        <v>11</v>
      </c>
    </row>
    <row r="498" spans="1:9" x14ac:dyDescent="0.2">
      <c r="A498" t="s">
        <v>41</v>
      </c>
      <c r="B498" t="s">
        <v>10</v>
      </c>
      <c r="C498" s="3">
        <v>43418</v>
      </c>
      <c r="D498" s="3">
        <v>43418</v>
      </c>
      <c r="E498" s="3">
        <v>43426</v>
      </c>
      <c r="G498">
        <v>4185.92</v>
      </c>
      <c r="H498">
        <v>4855.67</v>
      </c>
      <c r="I498" t="s">
        <v>11</v>
      </c>
    </row>
    <row r="499" spans="1:9" x14ac:dyDescent="0.2">
      <c r="A499" t="s">
        <v>41</v>
      </c>
      <c r="B499" t="s">
        <v>10</v>
      </c>
      <c r="C499" s="3">
        <v>43418</v>
      </c>
      <c r="D499" s="3">
        <v>43418</v>
      </c>
      <c r="E499" s="3">
        <v>43426</v>
      </c>
      <c r="G499">
        <v>10403.799999999999</v>
      </c>
      <c r="H499">
        <v>12068.4</v>
      </c>
      <c r="I499" t="s">
        <v>11</v>
      </c>
    </row>
    <row r="500" spans="1:9" x14ac:dyDescent="0.2">
      <c r="A500" t="s">
        <v>41</v>
      </c>
      <c r="B500" t="s">
        <v>10</v>
      </c>
      <c r="C500" s="3">
        <v>43418</v>
      </c>
      <c r="D500" s="3">
        <v>43418</v>
      </c>
      <c r="E500" s="3">
        <v>43426</v>
      </c>
      <c r="G500">
        <v>21396.9</v>
      </c>
      <c r="H500">
        <v>24820.400000000001</v>
      </c>
      <c r="I500" t="s">
        <v>11</v>
      </c>
    </row>
    <row r="501" spans="1:9" x14ac:dyDescent="0.2">
      <c r="A501" t="s">
        <v>41</v>
      </c>
      <c r="B501" t="s">
        <v>10</v>
      </c>
      <c r="C501" s="3">
        <v>43418</v>
      </c>
      <c r="D501" s="3">
        <v>43418</v>
      </c>
      <c r="E501" s="3">
        <v>43426</v>
      </c>
      <c r="G501">
        <v>17312.599999999999</v>
      </c>
      <c r="H501">
        <v>20082.599999999999</v>
      </c>
      <c r="I501" t="s">
        <v>11</v>
      </c>
    </row>
    <row r="502" spans="1:9" x14ac:dyDescent="0.2">
      <c r="A502" t="s">
        <v>41</v>
      </c>
      <c r="B502" t="s">
        <v>10</v>
      </c>
      <c r="C502" s="3">
        <v>43418</v>
      </c>
      <c r="D502" s="3">
        <v>43418</v>
      </c>
      <c r="E502" s="3">
        <v>43426</v>
      </c>
      <c r="G502">
        <v>29260.799999999999</v>
      </c>
      <c r="H502">
        <v>33942.5</v>
      </c>
      <c r="I502" t="s">
        <v>11</v>
      </c>
    </row>
    <row r="503" spans="1:9" x14ac:dyDescent="0.2">
      <c r="A503" t="s">
        <v>41</v>
      </c>
      <c r="B503" t="s">
        <v>10</v>
      </c>
      <c r="C503" s="3">
        <v>43418</v>
      </c>
      <c r="D503" s="3">
        <v>43418</v>
      </c>
      <c r="E503" s="3">
        <v>43426</v>
      </c>
      <c r="G503">
        <v>3718.56</v>
      </c>
      <c r="H503">
        <v>4313.53</v>
      </c>
      <c r="I503" t="s">
        <v>11</v>
      </c>
    </row>
    <row r="504" spans="1:9" x14ac:dyDescent="0.2">
      <c r="A504" t="s">
        <v>41</v>
      </c>
      <c r="B504" t="s">
        <v>10</v>
      </c>
      <c r="C504" s="3">
        <v>43418</v>
      </c>
      <c r="D504" s="3">
        <v>43418</v>
      </c>
      <c r="E504" s="3">
        <v>43426</v>
      </c>
      <c r="G504">
        <v>6827.52</v>
      </c>
      <c r="H504">
        <v>7919.92</v>
      </c>
      <c r="I504" t="s">
        <v>11</v>
      </c>
    </row>
    <row r="505" spans="1:9" x14ac:dyDescent="0.2">
      <c r="A505" t="s">
        <v>41</v>
      </c>
      <c r="B505" t="s">
        <v>10</v>
      </c>
      <c r="C505" s="3">
        <v>43418</v>
      </c>
      <c r="D505" s="3">
        <v>43418</v>
      </c>
      <c r="E505" s="3">
        <v>43426</v>
      </c>
      <c r="G505">
        <v>2783.84</v>
      </c>
      <c r="H505">
        <v>3229.25</v>
      </c>
      <c r="I505" t="s">
        <v>11</v>
      </c>
    </row>
    <row r="506" spans="1:9" x14ac:dyDescent="0.2">
      <c r="A506" t="s">
        <v>41</v>
      </c>
      <c r="B506" t="s">
        <v>10</v>
      </c>
      <c r="C506" s="3">
        <v>43418</v>
      </c>
      <c r="D506" s="3">
        <v>43418</v>
      </c>
      <c r="E506" s="3">
        <v>43426</v>
      </c>
      <c r="G506">
        <v>5445.76</v>
      </c>
      <c r="H506">
        <v>6317.08</v>
      </c>
      <c r="I506" t="s">
        <v>11</v>
      </c>
    </row>
    <row r="507" spans="1:9" x14ac:dyDescent="0.2">
      <c r="A507" t="s">
        <v>41</v>
      </c>
      <c r="B507" t="s">
        <v>10</v>
      </c>
      <c r="C507" s="3">
        <v>43418</v>
      </c>
      <c r="D507" s="3">
        <v>43418</v>
      </c>
      <c r="E507" s="3">
        <v>43426</v>
      </c>
      <c r="G507">
        <v>1463.04</v>
      </c>
      <c r="H507">
        <v>1697.13</v>
      </c>
      <c r="I507" t="s">
        <v>11</v>
      </c>
    </row>
    <row r="508" spans="1:9" x14ac:dyDescent="0.2">
      <c r="A508" t="s">
        <v>41</v>
      </c>
      <c r="B508" t="s">
        <v>10</v>
      </c>
      <c r="C508" s="3">
        <v>43417</v>
      </c>
      <c r="D508" s="3">
        <v>43417</v>
      </c>
      <c r="E508" s="3">
        <v>43425</v>
      </c>
      <c r="G508">
        <v>4642.08</v>
      </c>
      <c r="H508">
        <v>5384.81</v>
      </c>
      <c r="I508" t="s">
        <v>11</v>
      </c>
    </row>
    <row r="509" spans="1:9" x14ac:dyDescent="0.2">
      <c r="A509" t="s">
        <v>18</v>
      </c>
      <c r="B509" t="s">
        <v>14</v>
      </c>
      <c r="C509" s="3">
        <v>43412</v>
      </c>
      <c r="D509" s="3">
        <v>43412</v>
      </c>
      <c r="E509" s="3">
        <v>43442</v>
      </c>
      <c r="F509" s="3">
        <v>43441</v>
      </c>
      <c r="G509">
        <v>480</v>
      </c>
      <c r="H509">
        <v>556.79999999999995</v>
      </c>
      <c r="I509" t="s">
        <v>11</v>
      </c>
    </row>
    <row r="510" spans="1:9" x14ac:dyDescent="0.2">
      <c r="A510" t="s">
        <v>18</v>
      </c>
      <c r="B510" t="s">
        <v>14</v>
      </c>
      <c r="C510" s="3">
        <v>43411</v>
      </c>
      <c r="D510" s="3">
        <v>43411</v>
      </c>
      <c r="E510" s="3">
        <v>43441</v>
      </c>
      <c r="F510" s="3">
        <v>43412</v>
      </c>
      <c r="G510">
        <v>520</v>
      </c>
      <c r="H510">
        <v>603.20000000000005</v>
      </c>
      <c r="I510" t="s">
        <v>11</v>
      </c>
    </row>
    <row r="511" spans="1:9" x14ac:dyDescent="0.2">
      <c r="A511" t="s">
        <v>18</v>
      </c>
      <c r="B511" t="s">
        <v>10</v>
      </c>
      <c r="C511" s="3">
        <v>43410</v>
      </c>
      <c r="D511" s="3">
        <v>43410</v>
      </c>
      <c r="E511" s="3">
        <v>43440</v>
      </c>
      <c r="G511">
        <v>2576</v>
      </c>
      <c r="H511">
        <v>2988.16</v>
      </c>
      <c r="I511" t="s">
        <v>11</v>
      </c>
    </row>
    <row r="512" spans="1:9" x14ac:dyDescent="0.2">
      <c r="A512" t="s">
        <v>41</v>
      </c>
      <c r="B512" t="s">
        <v>10</v>
      </c>
      <c r="C512" s="3">
        <v>43405</v>
      </c>
      <c r="D512" s="3">
        <v>43405</v>
      </c>
      <c r="E512" s="3">
        <v>43413</v>
      </c>
      <c r="G512">
        <v>38738</v>
      </c>
      <c r="H512">
        <v>44936.1</v>
      </c>
      <c r="I512" t="s">
        <v>11</v>
      </c>
    </row>
    <row r="513" spans="1:9" x14ac:dyDescent="0.2">
      <c r="A513" t="s">
        <v>41</v>
      </c>
      <c r="B513" t="s">
        <v>14</v>
      </c>
      <c r="C513" s="3">
        <v>43405</v>
      </c>
      <c r="D513" s="3">
        <v>43405</v>
      </c>
      <c r="E513" s="3">
        <v>43413</v>
      </c>
      <c r="F513" s="3">
        <v>43405</v>
      </c>
      <c r="G513">
        <v>59188.6</v>
      </c>
      <c r="H513">
        <v>68186</v>
      </c>
      <c r="I513" t="s">
        <v>11</v>
      </c>
    </row>
    <row r="514" spans="1:9" x14ac:dyDescent="0.2">
      <c r="A514" t="s">
        <v>21</v>
      </c>
      <c r="B514" t="s">
        <v>10</v>
      </c>
      <c r="C514" s="3">
        <v>43404</v>
      </c>
      <c r="D514" s="3">
        <v>43404</v>
      </c>
      <c r="E514" s="3">
        <v>43411</v>
      </c>
      <c r="G514">
        <v>440</v>
      </c>
      <c r="H514">
        <v>510.4</v>
      </c>
      <c r="I514" t="s">
        <v>11</v>
      </c>
    </row>
    <row r="515" spans="1:9" x14ac:dyDescent="0.2">
      <c r="A515" t="s">
        <v>41</v>
      </c>
      <c r="B515" t="s">
        <v>10</v>
      </c>
      <c r="C515" s="3">
        <v>43404</v>
      </c>
      <c r="D515" s="3">
        <v>43404</v>
      </c>
      <c r="E515" s="3">
        <v>43412</v>
      </c>
      <c r="G515">
        <v>13899.6</v>
      </c>
      <c r="H515">
        <v>16123.5</v>
      </c>
      <c r="I515" t="s">
        <v>11</v>
      </c>
    </row>
    <row r="516" spans="1:9" x14ac:dyDescent="0.2">
      <c r="A516" t="s">
        <v>41</v>
      </c>
      <c r="B516" t="s">
        <v>10</v>
      </c>
      <c r="C516" s="3">
        <v>43404</v>
      </c>
      <c r="D516" s="3">
        <v>43404</v>
      </c>
      <c r="E516" s="3">
        <v>43412</v>
      </c>
      <c r="G516">
        <v>28512</v>
      </c>
      <c r="H516">
        <v>33073.9</v>
      </c>
      <c r="I516" t="s">
        <v>11</v>
      </c>
    </row>
    <row r="517" spans="1:9" x14ac:dyDescent="0.2">
      <c r="A517" t="s">
        <v>19</v>
      </c>
      <c r="B517" t="s">
        <v>10</v>
      </c>
      <c r="C517" s="3">
        <v>43399</v>
      </c>
      <c r="D517" s="3">
        <v>43399</v>
      </c>
      <c r="E517" s="3">
        <v>43414</v>
      </c>
      <c r="G517">
        <v>45516</v>
      </c>
      <c r="H517">
        <v>52798.5</v>
      </c>
      <c r="I517" t="s">
        <v>11</v>
      </c>
    </row>
    <row r="518" spans="1:9" x14ac:dyDescent="0.2">
      <c r="A518" t="s">
        <v>18</v>
      </c>
      <c r="B518" t="s">
        <v>10</v>
      </c>
      <c r="C518" s="3">
        <v>43398</v>
      </c>
      <c r="D518" s="3">
        <v>43398</v>
      </c>
      <c r="E518" s="3">
        <v>43428</v>
      </c>
      <c r="G518">
        <v>45496</v>
      </c>
      <c r="H518">
        <v>52775.3</v>
      </c>
      <c r="I518" t="s">
        <v>11</v>
      </c>
    </row>
    <row r="519" spans="1:9" x14ac:dyDescent="0.2">
      <c r="A519" t="s">
        <v>18</v>
      </c>
      <c r="B519" t="s">
        <v>10</v>
      </c>
      <c r="C519" s="3">
        <v>43398</v>
      </c>
      <c r="D519" s="3">
        <v>43398</v>
      </c>
      <c r="E519" s="3">
        <v>43428</v>
      </c>
      <c r="G519">
        <v>22284</v>
      </c>
      <c r="H519">
        <v>25849.4</v>
      </c>
      <c r="I519" t="s">
        <v>11</v>
      </c>
    </row>
    <row r="520" spans="1:9" x14ac:dyDescent="0.2">
      <c r="A520" t="s">
        <v>21</v>
      </c>
      <c r="B520" t="s">
        <v>10</v>
      </c>
      <c r="C520" s="3">
        <v>43398</v>
      </c>
      <c r="D520" s="3">
        <v>43398</v>
      </c>
      <c r="E520" s="3">
        <v>43405</v>
      </c>
      <c r="G520">
        <v>1250</v>
      </c>
      <c r="H520">
        <v>1450</v>
      </c>
      <c r="I520" t="s">
        <v>11</v>
      </c>
    </row>
    <row r="521" spans="1:9" x14ac:dyDescent="0.2">
      <c r="A521" t="s">
        <v>21</v>
      </c>
      <c r="B521" t="s">
        <v>10</v>
      </c>
      <c r="C521" s="3">
        <v>43398</v>
      </c>
      <c r="D521" s="3">
        <v>43398</v>
      </c>
      <c r="E521" s="3">
        <v>43405</v>
      </c>
      <c r="G521">
        <v>11640</v>
      </c>
      <c r="H521">
        <v>13502.4</v>
      </c>
      <c r="I521" t="s">
        <v>11</v>
      </c>
    </row>
    <row r="522" spans="1:9" x14ac:dyDescent="0.2">
      <c r="A522" t="s">
        <v>41</v>
      </c>
      <c r="B522" t="s">
        <v>10</v>
      </c>
      <c r="C522" s="3">
        <v>43398</v>
      </c>
      <c r="D522" s="3">
        <v>43398</v>
      </c>
      <c r="E522" s="3">
        <v>43406</v>
      </c>
      <c r="G522">
        <v>71116</v>
      </c>
      <c r="H522">
        <v>82494.600000000006</v>
      </c>
      <c r="I522" t="s">
        <v>11</v>
      </c>
    </row>
    <row r="523" spans="1:9" x14ac:dyDescent="0.2">
      <c r="A523" t="s">
        <v>20</v>
      </c>
      <c r="B523" t="s">
        <v>10</v>
      </c>
      <c r="C523" s="3">
        <v>43397</v>
      </c>
      <c r="D523" s="3">
        <v>43397</v>
      </c>
      <c r="E523" s="3">
        <v>43442</v>
      </c>
      <c r="G523">
        <v>47502</v>
      </c>
      <c r="H523">
        <v>55102.3</v>
      </c>
      <c r="I523" t="s">
        <v>11</v>
      </c>
    </row>
    <row r="524" spans="1:9" x14ac:dyDescent="0.2">
      <c r="A524" t="s">
        <v>19</v>
      </c>
      <c r="B524" t="s">
        <v>10</v>
      </c>
      <c r="C524" s="3">
        <v>43396</v>
      </c>
      <c r="D524" s="3">
        <v>43396</v>
      </c>
      <c r="E524" s="3">
        <v>43411</v>
      </c>
      <c r="G524">
        <v>2800</v>
      </c>
      <c r="H524">
        <v>3248</v>
      </c>
      <c r="I524" t="s">
        <v>11</v>
      </c>
    </row>
    <row r="525" spans="1:9" x14ac:dyDescent="0.2">
      <c r="A525" t="s">
        <v>18</v>
      </c>
      <c r="B525" t="s">
        <v>10</v>
      </c>
      <c r="C525" s="3">
        <v>43395</v>
      </c>
      <c r="D525" s="3">
        <v>43395</v>
      </c>
      <c r="E525" s="3">
        <v>43425</v>
      </c>
      <c r="G525">
        <v>5686</v>
      </c>
      <c r="H525">
        <v>6595.76</v>
      </c>
      <c r="I525" t="s">
        <v>11</v>
      </c>
    </row>
    <row r="526" spans="1:9" x14ac:dyDescent="0.2">
      <c r="A526" t="s">
        <v>18</v>
      </c>
      <c r="B526" t="s">
        <v>10</v>
      </c>
      <c r="C526" s="3">
        <v>43395</v>
      </c>
      <c r="D526" s="3">
        <v>43395</v>
      </c>
      <c r="E526" s="3">
        <v>43425</v>
      </c>
      <c r="G526">
        <v>3672</v>
      </c>
      <c r="H526">
        <v>4259.5200000000004</v>
      </c>
      <c r="I526" t="s">
        <v>11</v>
      </c>
    </row>
    <row r="527" spans="1:9" x14ac:dyDescent="0.2">
      <c r="A527" t="s">
        <v>19</v>
      </c>
      <c r="B527" t="s">
        <v>10</v>
      </c>
      <c r="C527" s="3">
        <v>43391</v>
      </c>
      <c r="D527" s="3">
        <v>43391</v>
      </c>
      <c r="E527" s="3">
        <v>43406</v>
      </c>
      <c r="G527">
        <v>4528</v>
      </c>
      <c r="H527">
        <v>5252.48</v>
      </c>
      <c r="I527" t="s">
        <v>11</v>
      </c>
    </row>
    <row r="528" spans="1:9" x14ac:dyDescent="0.2">
      <c r="A528" t="s">
        <v>41</v>
      </c>
      <c r="B528" t="s">
        <v>10</v>
      </c>
      <c r="C528" s="3">
        <v>43391</v>
      </c>
      <c r="D528" s="3">
        <v>43391</v>
      </c>
      <c r="E528" s="3">
        <v>43399</v>
      </c>
      <c r="G528">
        <v>14865.8</v>
      </c>
      <c r="H528">
        <v>17244.3</v>
      </c>
      <c r="I528" t="s">
        <v>11</v>
      </c>
    </row>
    <row r="529" spans="1:9" x14ac:dyDescent="0.2">
      <c r="A529" t="s">
        <v>41</v>
      </c>
      <c r="B529" t="s">
        <v>10</v>
      </c>
      <c r="C529" s="3">
        <v>43390</v>
      </c>
      <c r="D529" s="3">
        <v>43390</v>
      </c>
      <c r="E529" s="3">
        <v>43398</v>
      </c>
      <c r="G529">
        <v>76669.5</v>
      </c>
      <c r="H529">
        <v>88936.6</v>
      </c>
      <c r="I529" t="s">
        <v>11</v>
      </c>
    </row>
    <row r="530" spans="1:9" x14ac:dyDescent="0.2">
      <c r="A530" t="s">
        <v>18</v>
      </c>
      <c r="B530" t="s">
        <v>10</v>
      </c>
      <c r="C530" s="3">
        <v>43389</v>
      </c>
      <c r="D530" s="3">
        <v>43389</v>
      </c>
      <c r="E530" s="3">
        <v>43419</v>
      </c>
      <c r="G530">
        <v>1386</v>
      </c>
      <c r="H530">
        <v>1607.76</v>
      </c>
      <c r="I530" t="s">
        <v>11</v>
      </c>
    </row>
    <row r="531" spans="1:9" x14ac:dyDescent="0.2">
      <c r="A531" t="s">
        <v>9</v>
      </c>
      <c r="B531" t="s">
        <v>10</v>
      </c>
      <c r="C531" s="3">
        <v>43389</v>
      </c>
      <c r="D531" s="3">
        <v>43389</v>
      </c>
      <c r="E531" s="3">
        <v>43396</v>
      </c>
      <c r="G531">
        <v>4360</v>
      </c>
      <c r="H531">
        <v>5057.6000000000004</v>
      </c>
      <c r="I531" t="s">
        <v>11</v>
      </c>
    </row>
    <row r="532" spans="1:9" x14ac:dyDescent="0.2">
      <c r="A532" t="s">
        <v>9</v>
      </c>
      <c r="B532" t="s">
        <v>14</v>
      </c>
      <c r="C532" s="3">
        <v>43389</v>
      </c>
      <c r="D532" s="3">
        <v>43389</v>
      </c>
      <c r="E532" s="3">
        <v>43396</v>
      </c>
      <c r="F532" s="3">
        <v>43389</v>
      </c>
      <c r="G532">
        <v>4360</v>
      </c>
      <c r="H532">
        <v>5057.6000000000004</v>
      </c>
      <c r="I532">
        <v>3</v>
      </c>
    </row>
    <row r="533" spans="1:9" x14ac:dyDescent="0.2">
      <c r="A533" t="s">
        <v>43</v>
      </c>
      <c r="B533" t="s">
        <v>10</v>
      </c>
      <c r="C533" s="3">
        <v>43389</v>
      </c>
      <c r="D533" s="3">
        <v>43389</v>
      </c>
      <c r="E533" s="3">
        <v>43391</v>
      </c>
      <c r="G533">
        <v>910</v>
      </c>
      <c r="H533">
        <v>1055.5999999999999</v>
      </c>
      <c r="I533" t="s">
        <v>11</v>
      </c>
    </row>
    <row r="534" spans="1:9" x14ac:dyDescent="0.2">
      <c r="A534" t="s">
        <v>18</v>
      </c>
      <c r="B534" t="s">
        <v>10</v>
      </c>
      <c r="C534" s="3">
        <v>43389</v>
      </c>
      <c r="D534" s="3">
        <v>43389</v>
      </c>
      <c r="E534" s="3">
        <v>43419</v>
      </c>
      <c r="G534">
        <v>16700</v>
      </c>
      <c r="H534">
        <v>19372</v>
      </c>
      <c r="I534" t="s">
        <v>11</v>
      </c>
    </row>
    <row r="535" spans="1:9" x14ac:dyDescent="0.2">
      <c r="A535" t="s">
        <v>21</v>
      </c>
      <c r="B535" t="s">
        <v>10</v>
      </c>
      <c r="C535" s="3">
        <v>43389</v>
      </c>
      <c r="D535" s="3">
        <v>43389</v>
      </c>
      <c r="E535" s="3">
        <v>43396</v>
      </c>
      <c r="G535">
        <v>6384</v>
      </c>
      <c r="H535">
        <v>7405.44</v>
      </c>
      <c r="I535" t="s">
        <v>11</v>
      </c>
    </row>
    <row r="536" spans="1:9" x14ac:dyDescent="0.2">
      <c r="A536" t="s">
        <v>41</v>
      </c>
      <c r="B536" t="s">
        <v>10</v>
      </c>
      <c r="C536" s="3">
        <v>43385</v>
      </c>
      <c r="D536" s="3">
        <v>43385</v>
      </c>
      <c r="E536" s="3">
        <v>43393</v>
      </c>
      <c r="G536">
        <v>36901.599999999999</v>
      </c>
      <c r="H536">
        <v>42805.8</v>
      </c>
      <c r="I536" t="s">
        <v>11</v>
      </c>
    </row>
    <row r="537" spans="1:9" x14ac:dyDescent="0.2">
      <c r="A537" t="s">
        <v>44</v>
      </c>
      <c r="B537" t="s">
        <v>10</v>
      </c>
      <c r="C537" s="3">
        <v>43385</v>
      </c>
      <c r="D537" s="3">
        <v>43385</v>
      </c>
      <c r="E537" s="3">
        <v>43392</v>
      </c>
      <c r="G537">
        <v>1204.56</v>
      </c>
      <c r="H537">
        <v>1397.29</v>
      </c>
      <c r="I537" t="s">
        <v>11</v>
      </c>
    </row>
    <row r="538" spans="1:9" x14ac:dyDescent="0.2">
      <c r="A538" t="s">
        <v>25</v>
      </c>
      <c r="B538" t="s">
        <v>10</v>
      </c>
      <c r="C538" s="3">
        <v>43384</v>
      </c>
      <c r="D538" s="3">
        <v>43384</v>
      </c>
      <c r="E538" s="3">
        <v>43414</v>
      </c>
      <c r="G538">
        <v>13472</v>
      </c>
      <c r="H538">
        <v>15627.5</v>
      </c>
      <c r="I538" t="s">
        <v>11</v>
      </c>
    </row>
    <row r="539" spans="1:9" x14ac:dyDescent="0.2">
      <c r="A539" t="s">
        <v>25</v>
      </c>
      <c r="B539" t="s">
        <v>14</v>
      </c>
      <c r="C539" s="3">
        <v>43384</v>
      </c>
      <c r="D539" s="3">
        <v>43384</v>
      </c>
      <c r="E539" s="3">
        <v>43414</v>
      </c>
      <c r="F539" s="3">
        <v>43384</v>
      </c>
      <c r="G539">
        <v>12856</v>
      </c>
      <c r="H539">
        <v>14912.9</v>
      </c>
      <c r="I539">
        <v>3</v>
      </c>
    </row>
    <row r="540" spans="1:9" x14ac:dyDescent="0.2">
      <c r="A540" t="s">
        <v>17</v>
      </c>
      <c r="B540" t="s">
        <v>10</v>
      </c>
      <c r="C540" s="3">
        <v>43382</v>
      </c>
      <c r="D540" s="3">
        <v>43382</v>
      </c>
      <c r="E540" s="3">
        <v>43427</v>
      </c>
      <c r="G540">
        <v>25202</v>
      </c>
      <c r="H540">
        <v>29234.3</v>
      </c>
      <c r="I540" t="s">
        <v>11</v>
      </c>
    </row>
    <row r="541" spans="1:9" x14ac:dyDescent="0.2">
      <c r="A541" t="s">
        <v>21</v>
      </c>
      <c r="B541" t="s">
        <v>10</v>
      </c>
      <c r="C541" s="3">
        <v>43381</v>
      </c>
      <c r="D541" s="3">
        <v>43381</v>
      </c>
      <c r="E541" s="3">
        <v>43388</v>
      </c>
      <c r="G541">
        <v>4892</v>
      </c>
      <c r="H541">
        <v>5674.72</v>
      </c>
      <c r="I541" t="s">
        <v>11</v>
      </c>
    </row>
    <row r="542" spans="1:9" x14ac:dyDescent="0.2">
      <c r="A542" t="s">
        <v>20</v>
      </c>
      <c r="B542" t="s">
        <v>10</v>
      </c>
      <c r="C542" s="3">
        <v>43381</v>
      </c>
      <c r="D542" s="3">
        <v>43381</v>
      </c>
      <c r="E542" s="3">
        <v>43426</v>
      </c>
      <c r="G542">
        <v>28339</v>
      </c>
      <c r="H542">
        <v>32873.199999999997</v>
      </c>
      <c r="I542" t="s">
        <v>11</v>
      </c>
    </row>
    <row r="543" spans="1:9" x14ac:dyDescent="0.2">
      <c r="A543" t="s">
        <v>21</v>
      </c>
      <c r="B543" t="s">
        <v>10</v>
      </c>
      <c r="C543" s="3">
        <v>43381</v>
      </c>
      <c r="D543" s="3">
        <v>43381</v>
      </c>
      <c r="E543" s="3">
        <v>43388</v>
      </c>
      <c r="G543">
        <v>10218</v>
      </c>
      <c r="H543">
        <v>11852.8</v>
      </c>
      <c r="I543" t="s">
        <v>11</v>
      </c>
    </row>
    <row r="544" spans="1:9" x14ac:dyDescent="0.2">
      <c r="A544" t="s">
        <v>21</v>
      </c>
      <c r="B544" t="s">
        <v>10</v>
      </c>
      <c r="C544" s="3">
        <v>43378</v>
      </c>
      <c r="D544" s="3">
        <v>43378</v>
      </c>
      <c r="E544" s="3">
        <v>43385</v>
      </c>
      <c r="G544">
        <v>2610</v>
      </c>
      <c r="H544">
        <v>3027.6</v>
      </c>
      <c r="I544" t="s">
        <v>11</v>
      </c>
    </row>
    <row r="545" spans="1:9" x14ac:dyDescent="0.2">
      <c r="A545" t="s">
        <v>17</v>
      </c>
      <c r="B545" t="s">
        <v>10</v>
      </c>
      <c r="C545" s="3">
        <v>43378</v>
      </c>
      <c r="D545" s="3">
        <v>43378</v>
      </c>
      <c r="E545" s="3">
        <v>43423</v>
      </c>
      <c r="G545">
        <v>25202</v>
      </c>
      <c r="H545">
        <v>29234.3</v>
      </c>
      <c r="I545" t="s">
        <v>11</v>
      </c>
    </row>
    <row r="546" spans="1:9" x14ac:dyDescent="0.2">
      <c r="A546" t="s">
        <v>17</v>
      </c>
      <c r="B546" t="s">
        <v>10</v>
      </c>
      <c r="C546" s="3">
        <v>43378</v>
      </c>
      <c r="D546" s="3">
        <v>43378</v>
      </c>
      <c r="E546" s="3">
        <v>43423</v>
      </c>
      <c r="G546">
        <v>25202</v>
      </c>
      <c r="H546">
        <v>29234.3</v>
      </c>
      <c r="I546" t="s">
        <v>11</v>
      </c>
    </row>
    <row r="547" spans="1:9" x14ac:dyDescent="0.2">
      <c r="A547" t="s">
        <v>45</v>
      </c>
      <c r="B547" t="s">
        <v>10</v>
      </c>
      <c r="C547" s="3">
        <v>43376</v>
      </c>
      <c r="D547" s="3">
        <v>43376</v>
      </c>
      <c r="E547" s="3">
        <v>43376</v>
      </c>
      <c r="G547">
        <v>44626</v>
      </c>
      <c r="H547">
        <v>51766.1</v>
      </c>
      <c r="I547" t="s">
        <v>11</v>
      </c>
    </row>
    <row r="548" spans="1:9" x14ac:dyDescent="0.2">
      <c r="A548" t="s">
        <v>17</v>
      </c>
      <c r="B548" t="s">
        <v>10</v>
      </c>
      <c r="C548" s="3">
        <v>43375</v>
      </c>
      <c r="D548" s="3">
        <v>43375</v>
      </c>
      <c r="E548" s="3">
        <v>43420</v>
      </c>
      <c r="G548">
        <v>25202</v>
      </c>
      <c r="H548">
        <v>29234.3</v>
      </c>
      <c r="I548" t="s">
        <v>11</v>
      </c>
    </row>
    <row r="549" spans="1:9" x14ac:dyDescent="0.2">
      <c r="A549" t="s">
        <v>12</v>
      </c>
      <c r="B549" t="s">
        <v>10</v>
      </c>
      <c r="C549" s="3">
        <v>43371</v>
      </c>
      <c r="D549" s="3">
        <v>43371</v>
      </c>
      <c r="E549" s="3">
        <v>43401</v>
      </c>
      <c r="G549">
        <v>102078</v>
      </c>
      <c r="H549">
        <v>102078</v>
      </c>
      <c r="I549" t="s">
        <v>11</v>
      </c>
    </row>
    <row r="550" spans="1:9" x14ac:dyDescent="0.2">
      <c r="A550" t="s">
        <v>17</v>
      </c>
      <c r="B550" t="s">
        <v>10</v>
      </c>
      <c r="C550" s="3">
        <v>43371</v>
      </c>
      <c r="D550" s="3">
        <v>43371</v>
      </c>
      <c r="E550" s="3">
        <v>43416</v>
      </c>
      <c r="G550">
        <v>25202</v>
      </c>
      <c r="H550">
        <v>29234.3</v>
      </c>
      <c r="I550" t="s">
        <v>11</v>
      </c>
    </row>
    <row r="551" spans="1:9" x14ac:dyDescent="0.2">
      <c r="A551" t="s">
        <v>17</v>
      </c>
      <c r="B551" t="s">
        <v>14</v>
      </c>
      <c r="C551" s="3">
        <v>43370</v>
      </c>
      <c r="D551" s="3">
        <v>43370</v>
      </c>
      <c r="E551" s="3">
        <v>43415</v>
      </c>
      <c r="F551" s="3">
        <v>43371</v>
      </c>
      <c r="G551">
        <v>25202</v>
      </c>
      <c r="H551">
        <v>29234.3</v>
      </c>
      <c r="I551">
        <v>3</v>
      </c>
    </row>
    <row r="552" spans="1:9" x14ac:dyDescent="0.2">
      <c r="A552" t="s">
        <v>46</v>
      </c>
      <c r="B552" t="s">
        <v>10</v>
      </c>
      <c r="C552" s="3">
        <v>43370</v>
      </c>
      <c r="D552" s="3">
        <v>43370</v>
      </c>
      <c r="E552" s="3">
        <v>43377</v>
      </c>
      <c r="G552">
        <v>1329.3</v>
      </c>
      <c r="H552">
        <v>1541.99</v>
      </c>
      <c r="I552" t="s">
        <v>11</v>
      </c>
    </row>
    <row r="553" spans="1:9" x14ac:dyDescent="0.2">
      <c r="A553" t="s">
        <v>41</v>
      </c>
      <c r="B553" t="s">
        <v>10</v>
      </c>
      <c r="C553" s="3">
        <v>43370</v>
      </c>
      <c r="D553" s="3">
        <v>43370</v>
      </c>
      <c r="E553" s="3">
        <v>43378</v>
      </c>
      <c r="G553">
        <v>21173.8</v>
      </c>
      <c r="H553">
        <v>24561.599999999999</v>
      </c>
      <c r="I553" t="s">
        <v>11</v>
      </c>
    </row>
    <row r="554" spans="1:9" x14ac:dyDescent="0.2">
      <c r="A554" t="s">
        <v>41</v>
      </c>
      <c r="B554" t="s">
        <v>10</v>
      </c>
      <c r="C554" s="3">
        <v>43370</v>
      </c>
      <c r="D554" s="3">
        <v>43370</v>
      </c>
      <c r="E554" s="3">
        <v>43378</v>
      </c>
      <c r="G554">
        <v>4044.87</v>
      </c>
      <c r="H554">
        <v>4692.05</v>
      </c>
      <c r="I554" t="s">
        <v>11</v>
      </c>
    </row>
    <row r="555" spans="1:9" x14ac:dyDescent="0.2">
      <c r="A555" t="s">
        <v>41</v>
      </c>
      <c r="B555" t="s">
        <v>10</v>
      </c>
      <c r="C555" s="3">
        <v>43370</v>
      </c>
      <c r="D555" s="3">
        <v>43370</v>
      </c>
      <c r="E555" s="3">
        <v>43378</v>
      </c>
      <c r="G555">
        <v>7520.04</v>
      </c>
      <c r="H555">
        <v>8723.25</v>
      </c>
      <c r="I555" t="s">
        <v>11</v>
      </c>
    </row>
    <row r="556" spans="1:9" x14ac:dyDescent="0.2">
      <c r="A556" t="s">
        <v>18</v>
      </c>
      <c r="B556" t="s">
        <v>10</v>
      </c>
      <c r="C556" s="3">
        <v>43369</v>
      </c>
      <c r="D556" s="3">
        <v>43369</v>
      </c>
      <c r="E556" s="3">
        <v>43399</v>
      </c>
      <c r="G556">
        <v>14124</v>
      </c>
      <c r="H556">
        <v>16383.8</v>
      </c>
      <c r="I556" t="s">
        <v>11</v>
      </c>
    </row>
    <row r="557" spans="1:9" x14ac:dyDescent="0.2">
      <c r="A557" t="s">
        <v>19</v>
      </c>
      <c r="B557" t="s">
        <v>10</v>
      </c>
      <c r="C557" s="3">
        <v>43369</v>
      </c>
      <c r="D557" s="3">
        <v>43369</v>
      </c>
      <c r="E557" s="3">
        <v>43384</v>
      </c>
      <c r="G557">
        <v>6792</v>
      </c>
      <c r="H557">
        <v>7878.72</v>
      </c>
      <c r="I557" t="s">
        <v>11</v>
      </c>
    </row>
    <row r="558" spans="1:9" x14ac:dyDescent="0.2">
      <c r="A558" t="s">
        <v>18</v>
      </c>
      <c r="B558" t="s">
        <v>10</v>
      </c>
      <c r="C558" s="3">
        <v>43369</v>
      </c>
      <c r="D558" s="3">
        <v>43369</v>
      </c>
      <c r="E558" s="3">
        <v>43399</v>
      </c>
      <c r="G558">
        <v>4050</v>
      </c>
      <c r="H558">
        <v>4698</v>
      </c>
      <c r="I558" t="s">
        <v>11</v>
      </c>
    </row>
    <row r="559" spans="1:9" x14ac:dyDescent="0.2">
      <c r="A559" t="s">
        <v>18</v>
      </c>
      <c r="B559" t="s">
        <v>10</v>
      </c>
      <c r="C559" s="3">
        <v>43368</v>
      </c>
      <c r="D559" s="3">
        <v>43368</v>
      </c>
      <c r="E559" s="3">
        <v>43398</v>
      </c>
      <c r="G559">
        <v>26528</v>
      </c>
      <c r="H559">
        <v>30772.400000000001</v>
      </c>
      <c r="I559" t="s">
        <v>11</v>
      </c>
    </row>
    <row r="560" spans="1:9" x14ac:dyDescent="0.2">
      <c r="A560" t="s">
        <v>19</v>
      </c>
      <c r="B560" t="s">
        <v>10</v>
      </c>
      <c r="C560" s="3">
        <v>43368</v>
      </c>
      <c r="D560" s="3">
        <v>43368</v>
      </c>
      <c r="E560" s="3">
        <v>43383</v>
      </c>
      <c r="G560">
        <v>29480</v>
      </c>
      <c r="H560">
        <v>34196.800000000003</v>
      </c>
      <c r="I560" t="s">
        <v>11</v>
      </c>
    </row>
    <row r="561" spans="1:9" x14ac:dyDescent="0.2">
      <c r="A561" t="s">
        <v>19</v>
      </c>
      <c r="B561" t="s">
        <v>10</v>
      </c>
      <c r="C561" s="3">
        <v>43368</v>
      </c>
      <c r="D561" s="3">
        <v>43368</v>
      </c>
      <c r="E561" s="3">
        <v>43383</v>
      </c>
      <c r="G561">
        <v>29480</v>
      </c>
      <c r="H561">
        <v>34196.800000000003</v>
      </c>
      <c r="I561" t="s">
        <v>11</v>
      </c>
    </row>
    <row r="562" spans="1:9" x14ac:dyDescent="0.2">
      <c r="A562" t="s">
        <v>24</v>
      </c>
      <c r="B562" t="s">
        <v>10</v>
      </c>
      <c r="C562" s="3">
        <v>43364</v>
      </c>
      <c r="D562" s="3">
        <v>43364</v>
      </c>
      <c r="E562" s="3">
        <v>43364</v>
      </c>
      <c r="G562">
        <v>4160</v>
      </c>
      <c r="H562">
        <v>4825.6000000000004</v>
      </c>
      <c r="I562" t="s">
        <v>11</v>
      </c>
    </row>
    <row r="563" spans="1:9" x14ac:dyDescent="0.2">
      <c r="A563" t="s">
        <v>9</v>
      </c>
      <c r="B563" t="s">
        <v>10</v>
      </c>
      <c r="C563" s="3">
        <v>43364</v>
      </c>
      <c r="D563" s="3">
        <v>43364</v>
      </c>
      <c r="E563" s="3">
        <v>43371</v>
      </c>
      <c r="G563">
        <v>26346</v>
      </c>
      <c r="H563">
        <v>30561.3</v>
      </c>
      <c r="I563" t="s">
        <v>11</v>
      </c>
    </row>
    <row r="564" spans="1:9" x14ac:dyDescent="0.2">
      <c r="A564" t="s">
        <v>41</v>
      </c>
      <c r="B564" t="s">
        <v>10</v>
      </c>
      <c r="C564" s="3">
        <v>43363</v>
      </c>
      <c r="D564" s="3">
        <v>43363</v>
      </c>
      <c r="E564" s="3">
        <v>43371</v>
      </c>
      <c r="G564">
        <v>13739.6</v>
      </c>
      <c r="H564">
        <v>15937.9</v>
      </c>
      <c r="I564" t="s">
        <v>11</v>
      </c>
    </row>
    <row r="565" spans="1:9" x14ac:dyDescent="0.2">
      <c r="A565" t="s">
        <v>41</v>
      </c>
      <c r="B565" t="s">
        <v>10</v>
      </c>
      <c r="C565" s="3">
        <v>43363</v>
      </c>
      <c r="D565" s="3">
        <v>43363</v>
      </c>
      <c r="E565" s="3">
        <v>43371</v>
      </c>
      <c r="G565">
        <v>24100.6</v>
      </c>
      <c r="H565">
        <v>27956.7</v>
      </c>
      <c r="I565" t="s">
        <v>11</v>
      </c>
    </row>
    <row r="566" spans="1:9" x14ac:dyDescent="0.2">
      <c r="A566" t="s">
        <v>41</v>
      </c>
      <c r="B566" t="s">
        <v>10</v>
      </c>
      <c r="C566" s="3">
        <v>43362</v>
      </c>
      <c r="D566" s="3">
        <v>43362</v>
      </c>
      <c r="E566" s="3">
        <v>43370</v>
      </c>
      <c r="G566">
        <v>13414</v>
      </c>
      <c r="H566">
        <v>15560.3</v>
      </c>
      <c r="I566" t="s">
        <v>11</v>
      </c>
    </row>
    <row r="567" spans="1:9" x14ac:dyDescent="0.2">
      <c r="A567" t="s">
        <v>18</v>
      </c>
      <c r="B567" t="s">
        <v>10</v>
      </c>
      <c r="C567" s="3">
        <v>43361</v>
      </c>
      <c r="D567" s="3">
        <v>43361</v>
      </c>
      <c r="E567" s="3">
        <v>43391</v>
      </c>
      <c r="G567">
        <v>8266</v>
      </c>
      <c r="H567">
        <v>9588.56</v>
      </c>
      <c r="I567" t="s">
        <v>11</v>
      </c>
    </row>
    <row r="568" spans="1:9" x14ac:dyDescent="0.2">
      <c r="A568" t="s">
        <v>41</v>
      </c>
      <c r="B568" t="s">
        <v>10</v>
      </c>
      <c r="C568" s="3">
        <v>43361</v>
      </c>
      <c r="D568" s="3">
        <v>43361</v>
      </c>
      <c r="E568" s="3">
        <v>43369</v>
      </c>
      <c r="G568">
        <v>10001.1</v>
      </c>
      <c r="H568">
        <v>11601.2</v>
      </c>
      <c r="I568" t="s">
        <v>11</v>
      </c>
    </row>
    <row r="569" spans="1:9" x14ac:dyDescent="0.2">
      <c r="A569" t="s">
        <v>41</v>
      </c>
      <c r="B569" t="s">
        <v>10</v>
      </c>
      <c r="C569" s="3">
        <v>43361</v>
      </c>
      <c r="D569" s="3">
        <v>43361</v>
      </c>
      <c r="E569" s="3">
        <v>43369</v>
      </c>
      <c r="G569">
        <v>82197.7</v>
      </c>
      <c r="H569">
        <v>95349.3</v>
      </c>
      <c r="I569" t="s">
        <v>11</v>
      </c>
    </row>
    <row r="570" spans="1:9" x14ac:dyDescent="0.2">
      <c r="A570" t="s">
        <v>20</v>
      </c>
      <c r="B570" t="s">
        <v>10</v>
      </c>
      <c r="C570" s="3">
        <v>43361</v>
      </c>
      <c r="D570" s="3">
        <v>43361</v>
      </c>
      <c r="E570" s="3">
        <v>43406</v>
      </c>
      <c r="G570">
        <v>35527</v>
      </c>
      <c r="H570">
        <v>41211.300000000003</v>
      </c>
      <c r="I570" t="s">
        <v>11</v>
      </c>
    </row>
    <row r="571" spans="1:9" x14ac:dyDescent="0.2">
      <c r="A571" t="s">
        <v>41</v>
      </c>
      <c r="B571" t="s">
        <v>10</v>
      </c>
      <c r="C571" s="3">
        <v>43357</v>
      </c>
      <c r="D571" s="3">
        <v>43357</v>
      </c>
      <c r="E571" s="3">
        <v>43365</v>
      </c>
      <c r="G571">
        <v>17430.7</v>
      </c>
      <c r="H571">
        <v>20219.599999999999</v>
      </c>
      <c r="I571" t="s">
        <v>11</v>
      </c>
    </row>
    <row r="572" spans="1:9" x14ac:dyDescent="0.2">
      <c r="A572" t="s">
        <v>41</v>
      </c>
      <c r="B572" t="s">
        <v>10</v>
      </c>
      <c r="C572" s="3">
        <v>43357</v>
      </c>
      <c r="D572" s="3">
        <v>43357</v>
      </c>
      <c r="E572" s="3">
        <v>43365</v>
      </c>
      <c r="G572">
        <v>3771.9</v>
      </c>
      <c r="H572">
        <v>4375.3999999999996</v>
      </c>
      <c r="I572" t="s">
        <v>11</v>
      </c>
    </row>
    <row r="573" spans="1:9" x14ac:dyDescent="0.2">
      <c r="A573" t="s">
        <v>36</v>
      </c>
      <c r="B573" t="s">
        <v>10</v>
      </c>
      <c r="C573" s="3">
        <v>43356</v>
      </c>
      <c r="D573" s="3">
        <v>43356</v>
      </c>
      <c r="E573" s="3">
        <v>43371</v>
      </c>
      <c r="G573">
        <v>2800</v>
      </c>
      <c r="H573">
        <v>3248</v>
      </c>
      <c r="I573" t="s">
        <v>11</v>
      </c>
    </row>
    <row r="574" spans="1:9" x14ac:dyDescent="0.2">
      <c r="A574" t="s">
        <v>9</v>
      </c>
      <c r="B574" t="s">
        <v>10</v>
      </c>
      <c r="C574" s="3">
        <v>43355</v>
      </c>
      <c r="D574" s="3">
        <v>43355</v>
      </c>
      <c r="E574" s="3">
        <v>43362</v>
      </c>
      <c r="G574">
        <v>25230</v>
      </c>
      <c r="H574">
        <v>29266.799999999999</v>
      </c>
      <c r="I574" t="s">
        <v>11</v>
      </c>
    </row>
    <row r="575" spans="1:9" x14ac:dyDescent="0.2">
      <c r="A575" t="s">
        <v>41</v>
      </c>
      <c r="B575" t="s">
        <v>10</v>
      </c>
      <c r="C575" s="3">
        <v>43354</v>
      </c>
      <c r="D575" s="3">
        <v>43354</v>
      </c>
      <c r="E575" s="3">
        <v>43362</v>
      </c>
      <c r="G575">
        <v>3347.76</v>
      </c>
      <c r="H575">
        <v>3883.4</v>
      </c>
      <c r="I575" t="s">
        <v>11</v>
      </c>
    </row>
    <row r="576" spans="1:9" x14ac:dyDescent="0.2">
      <c r="A576" t="s">
        <v>41</v>
      </c>
      <c r="B576" t="s">
        <v>10</v>
      </c>
      <c r="C576" s="3">
        <v>43354</v>
      </c>
      <c r="D576" s="3">
        <v>43354</v>
      </c>
      <c r="E576" s="3">
        <v>43362</v>
      </c>
      <c r="G576">
        <v>2193.36</v>
      </c>
      <c r="H576">
        <v>2544.3000000000002</v>
      </c>
      <c r="I576" t="s">
        <v>11</v>
      </c>
    </row>
    <row r="577" spans="1:9" x14ac:dyDescent="0.2">
      <c r="A577" t="s">
        <v>39</v>
      </c>
      <c r="B577" t="s">
        <v>10</v>
      </c>
      <c r="C577" s="3">
        <v>43353</v>
      </c>
      <c r="D577" s="3">
        <v>43353</v>
      </c>
      <c r="E577" s="3">
        <v>43361</v>
      </c>
      <c r="G577">
        <v>13078.7</v>
      </c>
      <c r="H577">
        <v>15171.3</v>
      </c>
      <c r="I577" t="s">
        <v>11</v>
      </c>
    </row>
    <row r="578" spans="1:9" x14ac:dyDescent="0.2">
      <c r="A578" t="s">
        <v>25</v>
      </c>
      <c r="B578" t="s">
        <v>10</v>
      </c>
      <c r="C578" s="3">
        <v>43350</v>
      </c>
      <c r="D578" s="3">
        <v>43350</v>
      </c>
      <c r="E578" s="3">
        <v>43380</v>
      </c>
      <c r="G578">
        <v>12904</v>
      </c>
      <c r="H578">
        <v>14968.6</v>
      </c>
      <c r="I578" t="s">
        <v>11</v>
      </c>
    </row>
    <row r="579" spans="1:9" x14ac:dyDescent="0.2">
      <c r="A579" t="s">
        <v>18</v>
      </c>
      <c r="B579" t="s">
        <v>10</v>
      </c>
      <c r="C579" s="3">
        <v>43349</v>
      </c>
      <c r="D579" s="3">
        <v>43349</v>
      </c>
      <c r="E579" s="3">
        <v>43379</v>
      </c>
      <c r="G579">
        <v>11528</v>
      </c>
      <c r="H579">
        <v>13372.4</v>
      </c>
      <c r="I579" t="s">
        <v>11</v>
      </c>
    </row>
    <row r="580" spans="1:9" x14ac:dyDescent="0.2">
      <c r="A580" t="s">
        <v>41</v>
      </c>
      <c r="B580" t="s">
        <v>10</v>
      </c>
      <c r="C580" s="3">
        <v>43348</v>
      </c>
      <c r="D580" s="3">
        <v>43348</v>
      </c>
      <c r="E580" s="3">
        <v>43356</v>
      </c>
      <c r="G580">
        <v>13869.6</v>
      </c>
      <c r="H580">
        <v>16088.7</v>
      </c>
      <c r="I580" t="s">
        <v>11</v>
      </c>
    </row>
    <row r="581" spans="1:9" x14ac:dyDescent="0.2">
      <c r="A581" t="s">
        <v>21</v>
      </c>
      <c r="B581" t="s">
        <v>10</v>
      </c>
      <c r="C581" s="3">
        <v>43346</v>
      </c>
      <c r="D581" s="3">
        <v>43346</v>
      </c>
      <c r="E581" s="3">
        <v>43353</v>
      </c>
      <c r="G581">
        <v>42203</v>
      </c>
      <c r="H581">
        <v>48955.4</v>
      </c>
      <c r="I581" t="s">
        <v>11</v>
      </c>
    </row>
    <row r="582" spans="1:9" x14ac:dyDescent="0.2">
      <c r="A582" t="s">
        <v>9</v>
      </c>
      <c r="B582" t="s">
        <v>10</v>
      </c>
      <c r="C582" s="3">
        <v>43346</v>
      </c>
      <c r="D582" s="3">
        <v>43342</v>
      </c>
      <c r="E582" s="3">
        <v>43353</v>
      </c>
      <c r="G582">
        <v>7636</v>
      </c>
      <c r="H582">
        <v>8857.76</v>
      </c>
      <c r="I582" t="s">
        <v>11</v>
      </c>
    </row>
    <row r="583" spans="1:9" x14ac:dyDescent="0.2">
      <c r="A583" t="s">
        <v>41</v>
      </c>
      <c r="B583" t="s">
        <v>10</v>
      </c>
      <c r="C583" s="3">
        <v>43346</v>
      </c>
      <c r="D583" s="3">
        <v>43346</v>
      </c>
      <c r="E583" s="3">
        <v>43354</v>
      </c>
      <c r="G583">
        <v>9354.57</v>
      </c>
      <c r="H583">
        <v>10851.3</v>
      </c>
      <c r="I583" t="s">
        <v>11</v>
      </c>
    </row>
    <row r="584" spans="1:9" x14ac:dyDescent="0.2">
      <c r="A584" t="s">
        <v>21</v>
      </c>
      <c r="B584" t="s">
        <v>10</v>
      </c>
      <c r="C584" s="3">
        <v>43346</v>
      </c>
      <c r="D584" s="3">
        <v>43346</v>
      </c>
      <c r="E584" s="3">
        <v>43353</v>
      </c>
      <c r="G584">
        <v>14846</v>
      </c>
      <c r="H584">
        <v>17221.3</v>
      </c>
      <c r="I584" t="s">
        <v>11</v>
      </c>
    </row>
    <row r="585" spans="1:9" x14ac:dyDescent="0.2">
      <c r="A585" t="s">
        <v>21</v>
      </c>
      <c r="B585" t="s">
        <v>10</v>
      </c>
      <c r="C585" s="3">
        <v>43343</v>
      </c>
      <c r="D585" s="3">
        <v>43343</v>
      </c>
      <c r="E585" s="3">
        <v>43350</v>
      </c>
      <c r="G585">
        <v>131040</v>
      </c>
      <c r="H585">
        <v>152006</v>
      </c>
      <c r="I585" t="s">
        <v>11</v>
      </c>
    </row>
    <row r="586" spans="1:9" x14ac:dyDescent="0.2">
      <c r="A586" t="s">
        <v>21</v>
      </c>
      <c r="B586" t="s">
        <v>10</v>
      </c>
      <c r="C586" s="3">
        <v>43343</v>
      </c>
      <c r="D586" s="3">
        <v>43343</v>
      </c>
      <c r="E586" s="3">
        <v>43350</v>
      </c>
      <c r="G586">
        <v>131040</v>
      </c>
      <c r="H586">
        <v>152006</v>
      </c>
      <c r="I586" t="s">
        <v>11</v>
      </c>
    </row>
    <row r="587" spans="1:9" x14ac:dyDescent="0.2">
      <c r="A587" t="s">
        <v>21</v>
      </c>
      <c r="B587" t="s">
        <v>10</v>
      </c>
      <c r="C587" s="3">
        <v>43343</v>
      </c>
      <c r="D587" s="3">
        <v>43343</v>
      </c>
      <c r="E587" s="3">
        <v>43350</v>
      </c>
      <c r="G587">
        <v>131040</v>
      </c>
      <c r="H587">
        <v>152006</v>
      </c>
      <c r="I587" t="s">
        <v>11</v>
      </c>
    </row>
    <row r="588" spans="1:9" x14ac:dyDescent="0.2">
      <c r="A588" t="s">
        <v>21</v>
      </c>
      <c r="B588" t="s">
        <v>14</v>
      </c>
      <c r="C588" s="3">
        <v>43343</v>
      </c>
      <c r="D588" s="3">
        <v>43343</v>
      </c>
      <c r="E588" s="3">
        <v>43350</v>
      </c>
      <c r="F588" s="3">
        <v>43343</v>
      </c>
      <c r="G588">
        <v>131040</v>
      </c>
      <c r="H588">
        <v>152006</v>
      </c>
      <c r="I588" t="s">
        <v>47</v>
      </c>
    </row>
    <row r="589" spans="1:9" x14ac:dyDescent="0.2">
      <c r="A589" t="s">
        <v>21</v>
      </c>
      <c r="B589" t="s">
        <v>10</v>
      </c>
      <c r="C589" s="3">
        <v>43343</v>
      </c>
      <c r="D589" s="3">
        <v>43343</v>
      </c>
      <c r="E589" s="3">
        <v>43350</v>
      </c>
      <c r="G589">
        <v>131040</v>
      </c>
      <c r="H589">
        <v>152006</v>
      </c>
      <c r="I589" t="s">
        <v>11</v>
      </c>
    </row>
    <row r="590" spans="1:9" x14ac:dyDescent="0.2">
      <c r="A590" t="s">
        <v>21</v>
      </c>
      <c r="B590" t="s">
        <v>10</v>
      </c>
      <c r="C590" s="3">
        <v>43343</v>
      </c>
      <c r="D590" s="3">
        <v>43343</v>
      </c>
      <c r="E590" s="3">
        <v>43350</v>
      </c>
      <c r="G590">
        <v>122940</v>
      </c>
      <c r="H590">
        <v>142610</v>
      </c>
      <c r="I590" t="s">
        <v>11</v>
      </c>
    </row>
    <row r="591" spans="1:9" x14ac:dyDescent="0.2">
      <c r="A591" t="s">
        <v>21</v>
      </c>
      <c r="B591" t="s">
        <v>10</v>
      </c>
      <c r="C591" s="3">
        <v>43343</v>
      </c>
      <c r="D591" s="3">
        <v>43343</v>
      </c>
      <c r="E591" s="3">
        <v>43350</v>
      </c>
      <c r="G591">
        <v>122940</v>
      </c>
      <c r="H591">
        <v>142610</v>
      </c>
      <c r="I591" t="s">
        <v>11</v>
      </c>
    </row>
    <row r="592" spans="1:9" x14ac:dyDescent="0.2">
      <c r="A592" t="s">
        <v>21</v>
      </c>
      <c r="B592" t="s">
        <v>10</v>
      </c>
      <c r="C592" s="3">
        <v>43343</v>
      </c>
      <c r="D592" s="3">
        <v>43343</v>
      </c>
      <c r="E592" s="3">
        <v>43350</v>
      </c>
      <c r="G592">
        <v>122940</v>
      </c>
      <c r="H592">
        <v>142610</v>
      </c>
      <c r="I592" t="s">
        <v>11</v>
      </c>
    </row>
    <row r="593" spans="1:9" x14ac:dyDescent="0.2">
      <c r="A593" t="s">
        <v>18</v>
      </c>
      <c r="B593" t="s">
        <v>10</v>
      </c>
      <c r="C593" s="3">
        <v>43343</v>
      </c>
      <c r="D593" s="3">
        <v>43343</v>
      </c>
      <c r="E593" s="3">
        <v>43373</v>
      </c>
      <c r="G593">
        <v>12490</v>
      </c>
      <c r="H593">
        <v>14488.4</v>
      </c>
      <c r="I593" t="s">
        <v>11</v>
      </c>
    </row>
    <row r="594" spans="1:9" x14ac:dyDescent="0.2">
      <c r="A594" t="s">
        <v>21</v>
      </c>
      <c r="B594" t="s">
        <v>10</v>
      </c>
      <c r="C594" s="3">
        <v>43341</v>
      </c>
      <c r="D594" s="3">
        <v>43341</v>
      </c>
      <c r="E594" s="3">
        <v>43348</v>
      </c>
      <c r="G594">
        <v>122940</v>
      </c>
      <c r="H594">
        <v>142610</v>
      </c>
      <c r="I594" t="s">
        <v>11</v>
      </c>
    </row>
    <row r="595" spans="1:9" x14ac:dyDescent="0.2">
      <c r="A595" t="s">
        <v>21</v>
      </c>
      <c r="B595" t="s">
        <v>10</v>
      </c>
      <c r="C595" s="3">
        <v>43341</v>
      </c>
      <c r="D595" s="3">
        <v>43341</v>
      </c>
      <c r="E595" s="3">
        <v>43348</v>
      </c>
      <c r="G595">
        <v>117936</v>
      </c>
      <c r="H595">
        <v>136805</v>
      </c>
      <c r="I595" t="s">
        <v>11</v>
      </c>
    </row>
    <row r="596" spans="1:9" x14ac:dyDescent="0.2">
      <c r="A596" t="s">
        <v>21</v>
      </c>
      <c r="B596" t="s">
        <v>10</v>
      </c>
      <c r="C596" s="3">
        <v>43341</v>
      </c>
      <c r="D596" s="3">
        <v>43341</v>
      </c>
      <c r="E596" s="3">
        <v>43348</v>
      </c>
      <c r="G596">
        <v>110646</v>
      </c>
      <c r="H596">
        <v>128349</v>
      </c>
      <c r="I596" t="s">
        <v>11</v>
      </c>
    </row>
    <row r="597" spans="1:9" x14ac:dyDescent="0.2">
      <c r="A597" t="s">
        <v>41</v>
      </c>
      <c r="B597" t="s">
        <v>10</v>
      </c>
      <c r="C597" s="3">
        <v>43341</v>
      </c>
      <c r="D597" s="3">
        <v>43341</v>
      </c>
      <c r="E597" s="3">
        <v>43349</v>
      </c>
      <c r="G597">
        <v>25552.3</v>
      </c>
      <c r="H597">
        <v>29640.6</v>
      </c>
      <c r="I597" t="s">
        <v>11</v>
      </c>
    </row>
    <row r="598" spans="1:9" x14ac:dyDescent="0.2">
      <c r="A598" t="s">
        <v>41</v>
      </c>
      <c r="B598" t="s">
        <v>10</v>
      </c>
      <c r="C598" s="3">
        <v>43340</v>
      </c>
      <c r="D598" s="3">
        <v>43340</v>
      </c>
      <c r="E598" s="3">
        <v>43348</v>
      </c>
      <c r="G598">
        <v>18980.599999999999</v>
      </c>
      <c r="H598">
        <v>22017.5</v>
      </c>
      <c r="I598" t="s">
        <v>11</v>
      </c>
    </row>
    <row r="599" spans="1:9" x14ac:dyDescent="0.2">
      <c r="A599" t="s">
        <v>18</v>
      </c>
      <c r="B599" t="s">
        <v>10</v>
      </c>
      <c r="C599" s="3">
        <v>43339</v>
      </c>
      <c r="D599" s="3">
        <v>43339</v>
      </c>
      <c r="E599" s="3">
        <v>43369</v>
      </c>
      <c r="G599">
        <v>29480</v>
      </c>
      <c r="H599">
        <v>34196.800000000003</v>
      </c>
      <c r="I599" t="s">
        <v>11</v>
      </c>
    </row>
    <row r="600" spans="1:9" x14ac:dyDescent="0.2">
      <c r="A600" t="s">
        <v>41</v>
      </c>
      <c r="B600" t="s">
        <v>10</v>
      </c>
      <c r="C600" s="3">
        <v>43339</v>
      </c>
      <c r="D600" s="3">
        <v>43339</v>
      </c>
      <c r="E600" s="3">
        <v>43347</v>
      </c>
      <c r="G600">
        <v>8831.16</v>
      </c>
      <c r="H600">
        <v>10244.1</v>
      </c>
      <c r="I600" t="s">
        <v>11</v>
      </c>
    </row>
    <row r="601" spans="1:9" x14ac:dyDescent="0.2">
      <c r="A601" t="s">
        <v>18</v>
      </c>
      <c r="B601" t="s">
        <v>10</v>
      </c>
      <c r="C601" s="3">
        <v>43339</v>
      </c>
      <c r="D601" s="3">
        <v>43339</v>
      </c>
      <c r="E601" s="3">
        <v>43369</v>
      </c>
      <c r="G601">
        <v>29480</v>
      </c>
      <c r="H601">
        <v>34196.800000000003</v>
      </c>
      <c r="I601" t="s">
        <v>11</v>
      </c>
    </row>
    <row r="602" spans="1:9" x14ac:dyDescent="0.2">
      <c r="A602" t="s">
        <v>41</v>
      </c>
      <c r="B602" t="s">
        <v>10</v>
      </c>
      <c r="C602" s="3">
        <v>43339</v>
      </c>
      <c r="D602" s="3">
        <v>43339</v>
      </c>
      <c r="E602" s="3">
        <v>43347</v>
      </c>
      <c r="G602">
        <v>6698.85</v>
      </c>
      <c r="H602">
        <v>7770.67</v>
      </c>
      <c r="I602" t="s">
        <v>11</v>
      </c>
    </row>
    <row r="603" spans="1:9" x14ac:dyDescent="0.2">
      <c r="A603" t="s">
        <v>41</v>
      </c>
      <c r="B603" t="s">
        <v>10</v>
      </c>
      <c r="C603" s="3">
        <v>43339</v>
      </c>
      <c r="D603" s="3">
        <v>43339</v>
      </c>
      <c r="E603" s="3">
        <v>43347</v>
      </c>
      <c r="G603">
        <v>6623.37</v>
      </c>
      <c r="H603">
        <v>7683.11</v>
      </c>
      <c r="I603" t="s">
        <v>11</v>
      </c>
    </row>
    <row r="604" spans="1:9" x14ac:dyDescent="0.2">
      <c r="A604" t="s">
        <v>41</v>
      </c>
      <c r="B604" t="s">
        <v>10</v>
      </c>
      <c r="C604" s="3">
        <v>43339</v>
      </c>
      <c r="D604" s="3">
        <v>43339</v>
      </c>
      <c r="E604" s="3">
        <v>43347</v>
      </c>
      <c r="G604">
        <v>13812.8</v>
      </c>
      <c r="H604">
        <v>16022.8</v>
      </c>
      <c r="I604" t="s">
        <v>11</v>
      </c>
    </row>
    <row r="605" spans="1:9" x14ac:dyDescent="0.2">
      <c r="A605" t="s">
        <v>41</v>
      </c>
      <c r="B605" t="s">
        <v>10</v>
      </c>
      <c r="C605" s="3">
        <v>43336</v>
      </c>
      <c r="D605" s="3">
        <v>43336</v>
      </c>
      <c r="E605" s="3">
        <v>43344</v>
      </c>
      <c r="G605">
        <v>6605.82</v>
      </c>
      <c r="H605">
        <v>7662.75</v>
      </c>
      <c r="I605" t="s">
        <v>11</v>
      </c>
    </row>
    <row r="606" spans="1:9" x14ac:dyDescent="0.2">
      <c r="A606" t="s">
        <v>36</v>
      </c>
      <c r="B606" t="s">
        <v>10</v>
      </c>
      <c r="C606" s="3">
        <v>43336</v>
      </c>
      <c r="D606" s="3">
        <v>43336</v>
      </c>
      <c r="E606" s="3">
        <v>43351</v>
      </c>
      <c r="G606">
        <v>800</v>
      </c>
      <c r="H606">
        <v>928</v>
      </c>
      <c r="I606" t="s">
        <v>11</v>
      </c>
    </row>
    <row r="607" spans="1:9" x14ac:dyDescent="0.2">
      <c r="A607" t="s">
        <v>13</v>
      </c>
      <c r="B607" t="s">
        <v>10</v>
      </c>
      <c r="C607" s="3">
        <v>43335</v>
      </c>
      <c r="D607" s="3">
        <v>43335</v>
      </c>
      <c r="E607" s="3">
        <v>43365</v>
      </c>
      <c r="G607">
        <v>221180</v>
      </c>
      <c r="H607">
        <v>256568</v>
      </c>
      <c r="I607" t="s">
        <v>11</v>
      </c>
    </row>
    <row r="608" spans="1:9" x14ac:dyDescent="0.2">
      <c r="A608" t="s">
        <v>41</v>
      </c>
      <c r="B608" t="s">
        <v>10</v>
      </c>
      <c r="C608" s="3">
        <v>43335</v>
      </c>
      <c r="D608" s="3">
        <v>43335</v>
      </c>
      <c r="E608" s="3">
        <v>43343</v>
      </c>
      <c r="G608">
        <v>6343.68</v>
      </c>
      <c r="H608">
        <v>7358.67</v>
      </c>
      <c r="I608" t="s">
        <v>11</v>
      </c>
    </row>
    <row r="609" spans="1:9" x14ac:dyDescent="0.2">
      <c r="A609" t="s">
        <v>20</v>
      </c>
      <c r="B609" t="s">
        <v>10</v>
      </c>
      <c r="C609" s="3">
        <v>43333</v>
      </c>
      <c r="D609" s="3">
        <v>43333</v>
      </c>
      <c r="E609" s="3">
        <v>43378</v>
      </c>
      <c r="G609">
        <v>25908</v>
      </c>
      <c r="H609">
        <v>30053.200000000001</v>
      </c>
      <c r="I609" t="s">
        <v>11</v>
      </c>
    </row>
    <row r="610" spans="1:9" x14ac:dyDescent="0.2">
      <c r="A610" t="s">
        <v>25</v>
      </c>
      <c r="B610" t="s">
        <v>10</v>
      </c>
      <c r="C610" s="3">
        <v>43333</v>
      </c>
      <c r="D610" s="3">
        <v>43333</v>
      </c>
      <c r="E610" s="3">
        <v>43363</v>
      </c>
      <c r="G610">
        <v>10500</v>
      </c>
      <c r="H610">
        <v>12180</v>
      </c>
      <c r="I610" t="s">
        <v>11</v>
      </c>
    </row>
    <row r="611" spans="1:9" x14ac:dyDescent="0.2">
      <c r="A611" t="s">
        <v>41</v>
      </c>
      <c r="B611" t="s">
        <v>10</v>
      </c>
      <c r="C611" s="3">
        <v>43333</v>
      </c>
      <c r="D611" s="3">
        <v>43333</v>
      </c>
      <c r="E611" s="3">
        <v>43341</v>
      </c>
      <c r="G611">
        <v>15909</v>
      </c>
      <c r="H611">
        <v>18454.5</v>
      </c>
      <c r="I611" t="s">
        <v>11</v>
      </c>
    </row>
    <row r="612" spans="1:9" x14ac:dyDescent="0.2">
      <c r="A612" t="s">
        <v>21</v>
      </c>
      <c r="B612" t="s">
        <v>10</v>
      </c>
      <c r="C612" s="3">
        <v>43332</v>
      </c>
      <c r="D612" s="3">
        <v>43332</v>
      </c>
      <c r="E612" s="3">
        <v>43339</v>
      </c>
      <c r="G612">
        <v>17094</v>
      </c>
      <c r="H612">
        <v>19829</v>
      </c>
      <c r="I612" t="s">
        <v>11</v>
      </c>
    </row>
    <row r="613" spans="1:9" x14ac:dyDescent="0.2">
      <c r="A613" t="s">
        <v>23</v>
      </c>
      <c r="B613" t="s">
        <v>10</v>
      </c>
      <c r="C613" s="3">
        <v>43329</v>
      </c>
      <c r="D613" s="3">
        <v>43329</v>
      </c>
      <c r="E613" s="3">
        <v>43389</v>
      </c>
      <c r="G613">
        <v>2925</v>
      </c>
      <c r="H613">
        <v>3393</v>
      </c>
      <c r="I613" t="s">
        <v>11</v>
      </c>
    </row>
    <row r="614" spans="1:9" x14ac:dyDescent="0.2">
      <c r="A614" t="s">
        <v>36</v>
      </c>
      <c r="B614" t="s">
        <v>10</v>
      </c>
      <c r="C614" s="3">
        <v>43328</v>
      </c>
      <c r="D614" s="3">
        <v>43297</v>
      </c>
      <c r="E614" s="3">
        <v>43343</v>
      </c>
      <c r="G614">
        <v>3168</v>
      </c>
      <c r="H614">
        <v>3674.88</v>
      </c>
      <c r="I614" t="s">
        <v>11</v>
      </c>
    </row>
    <row r="615" spans="1:9" x14ac:dyDescent="0.2">
      <c r="A615" t="s">
        <v>48</v>
      </c>
      <c r="B615" t="s">
        <v>10</v>
      </c>
      <c r="C615" s="3">
        <v>43328</v>
      </c>
      <c r="D615" s="3">
        <v>43328</v>
      </c>
      <c r="E615" s="3">
        <v>43335</v>
      </c>
      <c r="G615">
        <v>1750</v>
      </c>
      <c r="H615">
        <v>2030</v>
      </c>
      <c r="I615" t="s">
        <v>11</v>
      </c>
    </row>
    <row r="616" spans="1:9" x14ac:dyDescent="0.2">
      <c r="A616" t="s">
        <v>41</v>
      </c>
      <c r="B616" t="s">
        <v>10</v>
      </c>
      <c r="C616" s="3">
        <v>43328</v>
      </c>
      <c r="D616" s="3">
        <v>43328</v>
      </c>
      <c r="E616" s="3">
        <v>43336</v>
      </c>
      <c r="G616">
        <v>18791</v>
      </c>
      <c r="H616">
        <v>21797.5</v>
      </c>
      <c r="I616" t="s">
        <v>11</v>
      </c>
    </row>
    <row r="617" spans="1:9" x14ac:dyDescent="0.2">
      <c r="A617" t="s">
        <v>25</v>
      </c>
      <c r="B617" t="s">
        <v>10</v>
      </c>
      <c r="C617" s="3">
        <v>43328</v>
      </c>
      <c r="D617" s="3">
        <v>43328</v>
      </c>
      <c r="E617" s="3">
        <v>43358</v>
      </c>
      <c r="G617">
        <v>784</v>
      </c>
      <c r="H617">
        <v>909.44</v>
      </c>
      <c r="I617" t="s">
        <v>11</v>
      </c>
    </row>
    <row r="618" spans="1:9" x14ac:dyDescent="0.2">
      <c r="A618" t="s">
        <v>49</v>
      </c>
      <c r="B618" t="s">
        <v>10</v>
      </c>
      <c r="C618" s="3">
        <v>43327</v>
      </c>
      <c r="D618" s="3">
        <v>43327</v>
      </c>
      <c r="E618" s="3">
        <v>43334</v>
      </c>
      <c r="G618">
        <v>8267</v>
      </c>
      <c r="H618">
        <v>9589.7199999999993</v>
      </c>
      <c r="I618" t="s">
        <v>11</v>
      </c>
    </row>
    <row r="619" spans="1:9" x14ac:dyDescent="0.2">
      <c r="A619" t="s">
        <v>20</v>
      </c>
      <c r="B619" t="s">
        <v>10</v>
      </c>
      <c r="C619" s="3">
        <v>43327</v>
      </c>
      <c r="D619" s="3">
        <v>43327</v>
      </c>
      <c r="E619" s="3">
        <v>43372</v>
      </c>
      <c r="G619">
        <v>43154</v>
      </c>
      <c r="H619">
        <v>50058.6</v>
      </c>
      <c r="I619" t="s">
        <v>11</v>
      </c>
    </row>
    <row r="620" spans="1:9" x14ac:dyDescent="0.2">
      <c r="A620" t="s">
        <v>18</v>
      </c>
      <c r="B620" t="s">
        <v>10</v>
      </c>
      <c r="C620" s="3">
        <v>43326</v>
      </c>
      <c r="D620" s="3">
        <v>43326</v>
      </c>
      <c r="E620" s="3">
        <v>43356</v>
      </c>
      <c r="G620">
        <v>6116</v>
      </c>
      <c r="H620">
        <v>7094.56</v>
      </c>
      <c r="I620" t="s">
        <v>11</v>
      </c>
    </row>
    <row r="621" spans="1:9" x14ac:dyDescent="0.2">
      <c r="A621" t="s">
        <v>18</v>
      </c>
      <c r="B621" t="s">
        <v>10</v>
      </c>
      <c r="C621" s="3">
        <v>43326</v>
      </c>
      <c r="D621" s="3">
        <v>43326</v>
      </c>
      <c r="E621" s="3">
        <v>43356</v>
      </c>
      <c r="G621">
        <v>15840</v>
      </c>
      <c r="H621">
        <v>18374.400000000001</v>
      </c>
      <c r="I621" t="s">
        <v>11</v>
      </c>
    </row>
    <row r="622" spans="1:9" x14ac:dyDescent="0.2">
      <c r="A622" t="s">
        <v>22</v>
      </c>
      <c r="B622" t="s">
        <v>10</v>
      </c>
      <c r="C622" s="3">
        <v>43326</v>
      </c>
      <c r="D622" s="3">
        <v>43326</v>
      </c>
      <c r="E622" s="3">
        <v>43356</v>
      </c>
      <c r="G622">
        <v>3550</v>
      </c>
      <c r="H622">
        <v>4118</v>
      </c>
      <c r="I622" t="s">
        <v>11</v>
      </c>
    </row>
    <row r="623" spans="1:9" x14ac:dyDescent="0.2">
      <c r="A623" t="s">
        <v>22</v>
      </c>
      <c r="B623" t="s">
        <v>10</v>
      </c>
      <c r="C623" s="3">
        <v>43326</v>
      </c>
      <c r="D623" s="3">
        <v>43326</v>
      </c>
      <c r="E623" s="3">
        <v>43356</v>
      </c>
      <c r="G623">
        <v>116547</v>
      </c>
      <c r="H623">
        <v>135194</v>
      </c>
      <c r="I623" t="s">
        <v>11</v>
      </c>
    </row>
    <row r="624" spans="1:9" x14ac:dyDescent="0.2">
      <c r="A624" t="s">
        <v>41</v>
      </c>
      <c r="B624" t="s">
        <v>10</v>
      </c>
      <c r="C624" s="3">
        <v>43326</v>
      </c>
      <c r="D624" s="3">
        <v>43326</v>
      </c>
      <c r="E624" s="3">
        <v>43334</v>
      </c>
      <c r="G624">
        <v>6924.72</v>
      </c>
      <c r="H624">
        <v>8032.68</v>
      </c>
      <c r="I624" t="s">
        <v>11</v>
      </c>
    </row>
    <row r="625" spans="1:9" x14ac:dyDescent="0.2">
      <c r="A625" t="s">
        <v>22</v>
      </c>
      <c r="B625" t="s">
        <v>10</v>
      </c>
      <c r="C625" s="3">
        <v>43321</v>
      </c>
      <c r="D625" s="3">
        <v>43321</v>
      </c>
      <c r="E625" s="3">
        <v>43351</v>
      </c>
      <c r="G625">
        <v>341140</v>
      </c>
      <c r="H625">
        <v>395723</v>
      </c>
      <c r="I625" t="s">
        <v>11</v>
      </c>
    </row>
    <row r="626" spans="1:9" x14ac:dyDescent="0.2">
      <c r="A626" t="s">
        <v>21</v>
      </c>
      <c r="B626" t="s">
        <v>10</v>
      </c>
      <c r="C626" s="3">
        <v>43321</v>
      </c>
      <c r="D626" s="3">
        <v>43321</v>
      </c>
      <c r="E626" s="3">
        <v>43328</v>
      </c>
      <c r="G626">
        <v>2392</v>
      </c>
      <c r="H626">
        <v>2774.72</v>
      </c>
      <c r="I626" t="s">
        <v>11</v>
      </c>
    </row>
    <row r="627" spans="1:9" x14ac:dyDescent="0.2">
      <c r="A627" t="s">
        <v>22</v>
      </c>
      <c r="B627" t="s">
        <v>10</v>
      </c>
      <c r="C627" s="3">
        <v>43321</v>
      </c>
      <c r="D627" s="3">
        <v>43321</v>
      </c>
      <c r="E627" s="3">
        <v>43351</v>
      </c>
      <c r="G627">
        <v>10390</v>
      </c>
      <c r="H627">
        <v>12052.4</v>
      </c>
      <c r="I627" t="s">
        <v>11</v>
      </c>
    </row>
    <row r="628" spans="1:9" x14ac:dyDescent="0.2">
      <c r="A628" t="s">
        <v>41</v>
      </c>
      <c r="B628" t="s">
        <v>10</v>
      </c>
      <c r="C628" s="3">
        <v>43321</v>
      </c>
      <c r="D628" s="3">
        <v>43321</v>
      </c>
      <c r="E628" s="3">
        <v>43329</v>
      </c>
      <c r="G628">
        <v>5418.38</v>
      </c>
      <c r="H628">
        <v>6285.32</v>
      </c>
      <c r="I628" t="s">
        <v>11</v>
      </c>
    </row>
    <row r="629" spans="1:9" x14ac:dyDescent="0.2">
      <c r="A629" t="s">
        <v>25</v>
      </c>
      <c r="B629" t="s">
        <v>10</v>
      </c>
      <c r="C629" s="3">
        <v>43321</v>
      </c>
      <c r="D629" s="3">
        <v>43321</v>
      </c>
      <c r="E629" s="3">
        <v>43351</v>
      </c>
      <c r="G629">
        <v>11850</v>
      </c>
      <c r="H629">
        <v>13746</v>
      </c>
      <c r="I629" t="s">
        <v>11</v>
      </c>
    </row>
    <row r="630" spans="1:9" x14ac:dyDescent="0.2">
      <c r="A630" t="s">
        <v>18</v>
      </c>
      <c r="B630" t="s">
        <v>10</v>
      </c>
      <c r="C630" s="3">
        <v>43321</v>
      </c>
      <c r="D630" s="3">
        <v>43321</v>
      </c>
      <c r="E630" s="3">
        <v>43351</v>
      </c>
      <c r="G630">
        <v>29480</v>
      </c>
      <c r="H630">
        <v>34196.800000000003</v>
      </c>
      <c r="I630" t="s">
        <v>11</v>
      </c>
    </row>
    <row r="631" spans="1:9" x14ac:dyDescent="0.2">
      <c r="A631" t="s">
        <v>21</v>
      </c>
      <c r="B631" t="s">
        <v>10</v>
      </c>
      <c r="C631" s="3">
        <v>43319</v>
      </c>
      <c r="D631" s="3">
        <v>43319</v>
      </c>
      <c r="E631" s="3">
        <v>43326</v>
      </c>
      <c r="G631">
        <v>12814</v>
      </c>
      <c r="H631">
        <v>14864.2</v>
      </c>
      <c r="I631" t="s">
        <v>11</v>
      </c>
    </row>
    <row r="632" spans="1:9" x14ac:dyDescent="0.2">
      <c r="A632" t="s">
        <v>41</v>
      </c>
      <c r="B632" t="s">
        <v>10</v>
      </c>
      <c r="C632" s="3">
        <v>43315</v>
      </c>
      <c r="D632" s="3">
        <v>43315</v>
      </c>
      <c r="E632" s="3">
        <v>43323</v>
      </c>
      <c r="G632">
        <v>7944.9</v>
      </c>
      <c r="H632">
        <v>9216.08</v>
      </c>
      <c r="I632" t="s">
        <v>11</v>
      </c>
    </row>
    <row r="633" spans="1:9" x14ac:dyDescent="0.2">
      <c r="A633" t="s">
        <v>41</v>
      </c>
      <c r="B633" t="s">
        <v>10</v>
      </c>
      <c r="C633" s="3">
        <v>43314</v>
      </c>
      <c r="D633" s="3">
        <v>43314</v>
      </c>
      <c r="E633" s="3">
        <v>43322</v>
      </c>
      <c r="G633">
        <v>22147.200000000001</v>
      </c>
      <c r="H633">
        <v>25690.799999999999</v>
      </c>
      <c r="I633" t="s">
        <v>11</v>
      </c>
    </row>
    <row r="634" spans="1:9" x14ac:dyDescent="0.2">
      <c r="A634" t="s">
        <v>12</v>
      </c>
      <c r="B634" t="s">
        <v>10</v>
      </c>
      <c r="C634" s="3">
        <v>43312</v>
      </c>
      <c r="D634" s="3">
        <v>43312</v>
      </c>
      <c r="E634" s="3">
        <v>43342</v>
      </c>
      <c r="G634">
        <v>100466</v>
      </c>
      <c r="H634">
        <v>100466</v>
      </c>
      <c r="I634" t="s">
        <v>11</v>
      </c>
    </row>
    <row r="635" spans="1:9" x14ac:dyDescent="0.2">
      <c r="A635" t="s">
        <v>21</v>
      </c>
      <c r="B635" t="s">
        <v>10</v>
      </c>
      <c r="C635" s="3">
        <v>43312</v>
      </c>
      <c r="D635" s="3">
        <v>43312</v>
      </c>
      <c r="E635" s="3">
        <v>43319</v>
      </c>
      <c r="G635">
        <v>13104</v>
      </c>
      <c r="H635">
        <v>15200.6</v>
      </c>
      <c r="I635" t="s">
        <v>11</v>
      </c>
    </row>
    <row r="636" spans="1:9" x14ac:dyDescent="0.2">
      <c r="A636" t="s">
        <v>19</v>
      </c>
      <c r="B636" t="s">
        <v>10</v>
      </c>
      <c r="C636" s="3">
        <v>43312</v>
      </c>
      <c r="D636" s="3">
        <v>43312</v>
      </c>
      <c r="E636" s="3">
        <v>43327</v>
      </c>
      <c r="G636">
        <v>16736</v>
      </c>
      <c r="H636">
        <v>19413.7</v>
      </c>
      <c r="I636" t="s">
        <v>11</v>
      </c>
    </row>
    <row r="637" spans="1:9" x14ac:dyDescent="0.2">
      <c r="A637" t="s">
        <v>41</v>
      </c>
      <c r="B637" t="s">
        <v>10</v>
      </c>
      <c r="C637" s="3">
        <v>43311</v>
      </c>
      <c r="D637" s="3">
        <v>43311</v>
      </c>
      <c r="E637" s="3">
        <v>43319</v>
      </c>
      <c r="G637">
        <v>4012.98</v>
      </c>
      <c r="H637">
        <v>4655.0600000000004</v>
      </c>
      <c r="I637" t="s">
        <v>11</v>
      </c>
    </row>
    <row r="638" spans="1:9" x14ac:dyDescent="0.2">
      <c r="A638" t="s">
        <v>41</v>
      </c>
      <c r="B638" t="s">
        <v>10</v>
      </c>
      <c r="C638" s="3">
        <v>43311</v>
      </c>
      <c r="D638" s="3">
        <v>43311</v>
      </c>
      <c r="E638" s="3">
        <v>43319</v>
      </c>
      <c r="G638">
        <v>3351.6</v>
      </c>
      <c r="H638">
        <v>3887.86</v>
      </c>
      <c r="I638" t="s">
        <v>11</v>
      </c>
    </row>
    <row r="639" spans="1:9" x14ac:dyDescent="0.2">
      <c r="A639" t="s">
        <v>41</v>
      </c>
      <c r="B639" t="s">
        <v>10</v>
      </c>
      <c r="C639" s="3">
        <v>43308</v>
      </c>
      <c r="D639" s="3">
        <v>43308</v>
      </c>
      <c r="E639" s="3">
        <v>43316</v>
      </c>
      <c r="G639">
        <v>8550.11</v>
      </c>
      <c r="H639">
        <v>9918.1299999999992</v>
      </c>
      <c r="I639" t="s">
        <v>11</v>
      </c>
    </row>
    <row r="640" spans="1:9" x14ac:dyDescent="0.2">
      <c r="A640" t="s">
        <v>46</v>
      </c>
      <c r="B640" t="s">
        <v>10</v>
      </c>
      <c r="C640" s="3">
        <v>43308</v>
      </c>
      <c r="D640" s="3">
        <v>43308</v>
      </c>
      <c r="E640" s="3">
        <v>43315</v>
      </c>
      <c r="G640">
        <v>1126.2</v>
      </c>
      <c r="H640">
        <v>1306.3900000000001</v>
      </c>
      <c r="I640" t="s">
        <v>11</v>
      </c>
    </row>
    <row r="641" spans="1:9" x14ac:dyDescent="0.2">
      <c r="A641" t="s">
        <v>21</v>
      </c>
      <c r="B641" t="s">
        <v>14</v>
      </c>
      <c r="C641" s="3">
        <v>43307</v>
      </c>
      <c r="D641" s="3">
        <v>43307</v>
      </c>
      <c r="E641" s="3">
        <v>43314</v>
      </c>
      <c r="F641" s="3">
        <v>43312</v>
      </c>
      <c r="G641">
        <v>12814</v>
      </c>
      <c r="H641">
        <v>14864.2</v>
      </c>
      <c r="I641" t="s">
        <v>47</v>
      </c>
    </row>
    <row r="642" spans="1:9" x14ac:dyDescent="0.2">
      <c r="A642" t="s">
        <v>21</v>
      </c>
      <c r="B642" t="s">
        <v>10</v>
      </c>
      <c r="C642" s="3">
        <v>43307</v>
      </c>
      <c r="D642" s="3">
        <v>43307</v>
      </c>
      <c r="E642" s="3">
        <v>43314</v>
      </c>
      <c r="G642">
        <v>14846</v>
      </c>
      <c r="H642">
        <v>17221.3</v>
      </c>
      <c r="I642" t="s">
        <v>11</v>
      </c>
    </row>
    <row r="643" spans="1:9" x14ac:dyDescent="0.2">
      <c r="A643" t="s">
        <v>19</v>
      </c>
      <c r="B643" t="s">
        <v>10</v>
      </c>
      <c r="C643" s="3">
        <v>43307</v>
      </c>
      <c r="D643" s="3">
        <v>43307</v>
      </c>
      <c r="E643" s="3">
        <v>43322</v>
      </c>
      <c r="G643">
        <v>14740</v>
      </c>
      <c r="H643">
        <v>17098.400000000001</v>
      </c>
      <c r="I643" t="s">
        <v>11</v>
      </c>
    </row>
    <row r="644" spans="1:9" x14ac:dyDescent="0.2">
      <c r="A644" t="s">
        <v>41</v>
      </c>
      <c r="B644" t="s">
        <v>10</v>
      </c>
      <c r="C644" s="3">
        <v>43307</v>
      </c>
      <c r="D644" s="3">
        <v>43307</v>
      </c>
      <c r="E644" s="3">
        <v>43315</v>
      </c>
      <c r="G644">
        <v>5768.1</v>
      </c>
      <c r="H644">
        <v>6691</v>
      </c>
      <c r="I644" t="s">
        <v>11</v>
      </c>
    </row>
    <row r="645" spans="1:9" x14ac:dyDescent="0.2">
      <c r="A645" t="s">
        <v>41</v>
      </c>
      <c r="B645" t="s">
        <v>10</v>
      </c>
      <c r="C645" s="3">
        <v>43307</v>
      </c>
      <c r="D645" s="3">
        <v>43307</v>
      </c>
      <c r="E645" s="3">
        <v>43315</v>
      </c>
      <c r="G645">
        <v>5768.1</v>
      </c>
      <c r="H645">
        <v>6691</v>
      </c>
      <c r="I645" t="s">
        <v>11</v>
      </c>
    </row>
    <row r="646" spans="1:9" x14ac:dyDescent="0.2">
      <c r="A646" t="s">
        <v>19</v>
      </c>
      <c r="B646" t="s">
        <v>10</v>
      </c>
      <c r="C646" s="3">
        <v>43307</v>
      </c>
      <c r="D646" s="3">
        <v>43307</v>
      </c>
      <c r="E646" s="3">
        <v>43322</v>
      </c>
      <c r="G646">
        <v>29480</v>
      </c>
      <c r="H646">
        <v>34196.800000000003</v>
      </c>
      <c r="I646" t="s">
        <v>11</v>
      </c>
    </row>
    <row r="647" spans="1:9" x14ac:dyDescent="0.2">
      <c r="A647" t="s">
        <v>18</v>
      </c>
      <c r="B647" t="s">
        <v>10</v>
      </c>
      <c r="C647" s="3">
        <v>43307</v>
      </c>
      <c r="D647" s="3">
        <v>43307</v>
      </c>
      <c r="E647" s="3">
        <v>43337</v>
      </c>
      <c r="G647">
        <v>18348</v>
      </c>
      <c r="H647">
        <v>21283.599999999999</v>
      </c>
      <c r="I647" t="s">
        <v>11</v>
      </c>
    </row>
    <row r="648" spans="1:9" x14ac:dyDescent="0.2">
      <c r="A648" t="s">
        <v>41</v>
      </c>
      <c r="B648" t="s">
        <v>10</v>
      </c>
      <c r="C648" s="3">
        <v>43307</v>
      </c>
      <c r="D648" s="3">
        <v>43307</v>
      </c>
      <c r="E648" s="3">
        <v>43315</v>
      </c>
      <c r="G648">
        <v>6786</v>
      </c>
      <c r="H648">
        <v>7871.76</v>
      </c>
      <c r="I648" t="s">
        <v>11</v>
      </c>
    </row>
    <row r="649" spans="1:9" x14ac:dyDescent="0.2">
      <c r="A649" t="s">
        <v>19</v>
      </c>
      <c r="B649" t="s">
        <v>10</v>
      </c>
      <c r="C649" s="3">
        <v>43306</v>
      </c>
      <c r="D649" s="3">
        <v>43306</v>
      </c>
      <c r="E649" s="3">
        <v>43321</v>
      </c>
      <c r="G649">
        <v>25000</v>
      </c>
      <c r="H649">
        <v>29000</v>
      </c>
      <c r="I649" t="s">
        <v>11</v>
      </c>
    </row>
    <row r="650" spans="1:9" x14ac:dyDescent="0.2">
      <c r="A650" t="s">
        <v>19</v>
      </c>
      <c r="B650" t="s">
        <v>10</v>
      </c>
      <c r="C650" s="3">
        <v>43306</v>
      </c>
      <c r="D650" s="3">
        <v>43306</v>
      </c>
      <c r="E650" s="3">
        <v>43321</v>
      </c>
      <c r="G650">
        <v>26000</v>
      </c>
      <c r="H650">
        <v>30160</v>
      </c>
      <c r="I650" t="s">
        <v>11</v>
      </c>
    </row>
    <row r="651" spans="1:9" x14ac:dyDescent="0.2">
      <c r="A651" t="s">
        <v>21</v>
      </c>
      <c r="B651" t="s">
        <v>10</v>
      </c>
      <c r="C651" s="3">
        <v>43306</v>
      </c>
      <c r="D651" s="3">
        <v>43306</v>
      </c>
      <c r="E651" s="3">
        <v>43313</v>
      </c>
      <c r="G651">
        <v>14682</v>
      </c>
      <c r="H651">
        <v>17031.099999999999</v>
      </c>
      <c r="I651" t="s">
        <v>11</v>
      </c>
    </row>
    <row r="652" spans="1:9" x14ac:dyDescent="0.2">
      <c r="A652" t="s">
        <v>21</v>
      </c>
      <c r="B652" t="s">
        <v>10</v>
      </c>
      <c r="C652" s="3">
        <v>43306</v>
      </c>
      <c r="D652" s="3">
        <v>43306</v>
      </c>
      <c r="E652" s="3">
        <v>43313</v>
      </c>
      <c r="G652">
        <v>14682</v>
      </c>
      <c r="H652">
        <v>17031.099999999999</v>
      </c>
      <c r="I652" t="s">
        <v>11</v>
      </c>
    </row>
    <row r="653" spans="1:9" x14ac:dyDescent="0.2">
      <c r="A653" t="s">
        <v>25</v>
      </c>
      <c r="B653" t="s">
        <v>10</v>
      </c>
      <c r="C653" s="3">
        <v>43306</v>
      </c>
      <c r="D653" s="3">
        <v>43306</v>
      </c>
      <c r="E653" s="3">
        <v>43336</v>
      </c>
      <c r="G653">
        <v>6680</v>
      </c>
      <c r="H653">
        <v>7748.8</v>
      </c>
      <c r="I653" t="s">
        <v>11</v>
      </c>
    </row>
    <row r="654" spans="1:9" x14ac:dyDescent="0.2">
      <c r="A654" t="s">
        <v>36</v>
      </c>
      <c r="B654" t="s">
        <v>10</v>
      </c>
      <c r="C654" s="3">
        <v>43304</v>
      </c>
      <c r="D654" s="3">
        <v>43304</v>
      </c>
      <c r="E654" s="3">
        <v>43319</v>
      </c>
      <c r="G654">
        <v>3168</v>
      </c>
      <c r="H654">
        <v>3674.88</v>
      </c>
      <c r="I654" t="s">
        <v>11</v>
      </c>
    </row>
    <row r="655" spans="1:9" x14ac:dyDescent="0.2">
      <c r="A655" t="s">
        <v>21</v>
      </c>
      <c r="B655" t="s">
        <v>14</v>
      </c>
      <c r="C655" s="3">
        <v>43304</v>
      </c>
      <c r="D655" s="3">
        <v>43304</v>
      </c>
      <c r="E655" s="3">
        <v>43311</v>
      </c>
      <c r="F655" s="3">
        <v>43306</v>
      </c>
      <c r="G655">
        <v>14682</v>
      </c>
      <c r="H655">
        <v>17031.099999999999</v>
      </c>
      <c r="I655" t="s">
        <v>47</v>
      </c>
    </row>
    <row r="656" spans="1:9" x14ac:dyDescent="0.2">
      <c r="A656" t="s">
        <v>21</v>
      </c>
      <c r="B656" t="s">
        <v>14</v>
      </c>
      <c r="C656" s="3">
        <v>43304</v>
      </c>
      <c r="D656" s="3">
        <v>43304</v>
      </c>
      <c r="E656" s="3">
        <v>43311</v>
      </c>
      <c r="F656" s="3">
        <v>43306</v>
      </c>
      <c r="G656">
        <v>14682</v>
      </c>
      <c r="H656">
        <v>17031.099999999999</v>
      </c>
      <c r="I656" t="s">
        <v>47</v>
      </c>
    </row>
    <row r="657" spans="1:9" x14ac:dyDescent="0.2">
      <c r="A657" t="s">
        <v>21</v>
      </c>
      <c r="B657" t="s">
        <v>14</v>
      </c>
      <c r="C657" s="3">
        <v>43304</v>
      </c>
      <c r="D657" s="3">
        <v>43304</v>
      </c>
      <c r="E657" s="3">
        <v>43311</v>
      </c>
      <c r="F657" s="3">
        <v>43304</v>
      </c>
      <c r="G657">
        <v>14682</v>
      </c>
      <c r="H657">
        <v>17031.099999999999</v>
      </c>
      <c r="I657" t="s">
        <v>47</v>
      </c>
    </row>
    <row r="658" spans="1:9" x14ac:dyDescent="0.2">
      <c r="A658" t="s">
        <v>41</v>
      </c>
      <c r="B658" t="s">
        <v>10</v>
      </c>
      <c r="C658" s="3">
        <v>43301</v>
      </c>
      <c r="D658" s="3">
        <v>43301</v>
      </c>
      <c r="E658" s="3">
        <v>43309</v>
      </c>
      <c r="G658">
        <v>8509.5</v>
      </c>
      <c r="H658">
        <v>9871.02</v>
      </c>
      <c r="I658" t="s">
        <v>11</v>
      </c>
    </row>
    <row r="659" spans="1:9" x14ac:dyDescent="0.2">
      <c r="A659" t="s">
        <v>41</v>
      </c>
      <c r="B659" t="s">
        <v>10</v>
      </c>
      <c r="C659" s="3">
        <v>43301</v>
      </c>
      <c r="D659" s="3">
        <v>43301</v>
      </c>
      <c r="E659" s="3">
        <v>43309</v>
      </c>
      <c r="G659">
        <v>10438.299999999999</v>
      </c>
      <c r="H659">
        <v>12108.4</v>
      </c>
      <c r="I659" t="s">
        <v>11</v>
      </c>
    </row>
    <row r="660" spans="1:9" x14ac:dyDescent="0.2">
      <c r="A660" t="s">
        <v>19</v>
      </c>
      <c r="B660" t="s">
        <v>10</v>
      </c>
      <c r="C660" s="3">
        <v>43300</v>
      </c>
      <c r="D660" s="3">
        <v>43300</v>
      </c>
      <c r="E660" s="3">
        <v>43315</v>
      </c>
      <c r="G660">
        <v>350</v>
      </c>
      <c r="H660">
        <v>406</v>
      </c>
      <c r="I660" t="s">
        <v>11</v>
      </c>
    </row>
    <row r="661" spans="1:9" x14ac:dyDescent="0.2">
      <c r="A661" t="s">
        <v>18</v>
      </c>
      <c r="B661" t="s">
        <v>10</v>
      </c>
      <c r="C661" s="3">
        <v>43298</v>
      </c>
      <c r="D661" s="3">
        <v>43298</v>
      </c>
      <c r="E661" s="3">
        <v>43328</v>
      </c>
      <c r="G661">
        <v>6351</v>
      </c>
      <c r="H661">
        <v>7367.16</v>
      </c>
      <c r="I661" t="s">
        <v>11</v>
      </c>
    </row>
    <row r="662" spans="1:9" x14ac:dyDescent="0.2">
      <c r="A662" t="s">
        <v>18</v>
      </c>
      <c r="B662" t="s">
        <v>14</v>
      </c>
      <c r="C662" s="3">
        <v>43298</v>
      </c>
      <c r="D662" s="3">
        <v>43298</v>
      </c>
      <c r="E662" s="3">
        <v>43328</v>
      </c>
      <c r="F662" s="3">
        <v>43298</v>
      </c>
      <c r="G662">
        <v>14538</v>
      </c>
      <c r="H662">
        <v>16864</v>
      </c>
      <c r="I662">
        <v>3</v>
      </c>
    </row>
    <row r="663" spans="1:9" x14ac:dyDescent="0.2">
      <c r="A663" t="s">
        <v>41</v>
      </c>
      <c r="B663" t="s">
        <v>10</v>
      </c>
      <c r="C663" s="3">
        <v>43297</v>
      </c>
      <c r="D663" s="3">
        <v>43297</v>
      </c>
      <c r="E663" s="3">
        <v>43305</v>
      </c>
      <c r="G663">
        <v>24466</v>
      </c>
      <c r="H663">
        <v>28380.5</v>
      </c>
      <c r="I663" t="s">
        <v>11</v>
      </c>
    </row>
    <row r="664" spans="1:9" x14ac:dyDescent="0.2">
      <c r="A664" t="s">
        <v>41</v>
      </c>
      <c r="B664" t="s">
        <v>10</v>
      </c>
      <c r="C664" s="3">
        <v>43297</v>
      </c>
      <c r="D664" s="3">
        <v>43297</v>
      </c>
      <c r="E664" s="3">
        <v>43305</v>
      </c>
      <c r="G664">
        <v>7122.43</v>
      </c>
      <c r="H664">
        <v>8262.02</v>
      </c>
      <c r="I664" t="s">
        <v>11</v>
      </c>
    </row>
    <row r="665" spans="1:9" x14ac:dyDescent="0.2">
      <c r="A665" t="s">
        <v>41</v>
      </c>
      <c r="B665" t="s">
        <v>10</v>
      </c>
      <c r="C665" s="3">
        <v>43297</v>
      </c>
      <c r="D665" s="3">
        <v>43297</v>
      </c>
      <c r="E665" s="3">
        <v>43305</v>
      </c>
      <c r="G665">
        <v>9801.4599999999991</v>
      </c>
      <c r="H665">
        <v>11369.6</v>
      </c>
      <c r="I665" t="s">
        <v>11</v>
      </c>
    </row>
    <row r="666" spans="1:9" x14ac:dyDescent="0.2">
      <c r="A666" t="s">
        <v>41</v>
      </c>
      <c r="B666" t="s">
        <v>10</v>
      </c>
      <c r="C666" s="3">
        <v>43292</v>
      </c>
      <c r="D666" s="3">
        <v>43292</v>
      </c>
      <c r="E666" s="3">
        <v>43300</v>
      </c>
      <c r="G666">
        <v>31859.4</v>
      </c>
      <c r="H666">
        <v>36956.9</v>
      </c>
      <c r="I666" t="s">
        <v>11</v>
      </c>
    </row>
    <row r="667" spans="1:9" x14ac:dyDescent="0.2">
      <c r="A667" t="s">
        <v>41</v>
      </c>
      <c r="B667" t="s">
        <v>10</v>
      </c>
      <c r="C667" s="3">
        <v>43292</v>
      </c>
      <c r="D667" s="3">
        <v>43292</v>
      </c>
      <c r="E667" s="3">
        <v>43300</v>
      </c>
      <c r="G667">
        <v>11529.3</v>
      </c>
      <c r="H667">
        <v>13374</v>
      </c>
      <c r="I667" t="s">
        <v>11</v>
      </c>
    </row>
    <row r="668" spans="1:9" x14ac:dyDescent="0.2">
      <c r="A668" t="s">
        <v>20</v>
      </c>
      <c r="B668" t="s">
        <v>10</v>
      </c>
      <c r="C668" s="3">
        <v>43291</v>
      </c>
      <c r="D668" s="3">
        <v>43291</v>
      </c>
      <c r="E668" s="3">
        <v>43336</v>
      </c>
      <c r="G668">
        <v>38904.300000000003</v>
      </c>
      <c r="H668">
        <v>45129</v>
      </c>
      <c r="I668" t="s">
        <v>11</v>
      </c>
    </row>
    <row r="669" spans="1:9" x14ac:dyDescent="0.2">
      <c r="A669" t="s">
        <v>13</v>
      </c>
      <c r="B669" t="s">
        <v>10</v>
      </c>
      <c r="C669" s="3">
        <v>43287</v>
      </c>
      <c r="D669" s="3">
        <v>43287</v>
      </c>
      <c r="E669" s="3">
        <v>43317</v>
      </c>
      <c r="G669">
        <v>44154</v>
      </c>
      <c r="H669">
        <v>51218.6</v>
      </c>
      <c r="I669" t="s">
        <v>11</v>
      </c>
    </row>
    <row r="670" spans="1:9" x14ac:dyDescent="0.2">
      <c r="A670" t="s">
        <v>13</v>
      </c>
      <c r="B670" t="s">
        <v>10</v>
      </c>
      <c r="C670" s="3">
        <v>43287</v>
      </c>
      <c r="D670" s="3">
        <v>43287</v>
      </c>
      <c r="E670" s="3">
        <v>43317</v>
      </c>
      <c r="G670">
        <v>210121</v>
      </c>
      <c r="H670">
        <v>243740</v>
      </c>
      <c r="I670" t="s">
        <v>11</v>
      </c>
    </row>
    <row r="671" spans="1:9" x14ac:dyDescent="0.2">
      <c r="A671" t="s">
        <v>13</v>
      </c>
      <c r="B671" t="s">
        <v>14</v>
      </c>
      <c r="C671" s="3">
        <v>43287</v>
      </c>
      <c r="D671" s="3">
        <v>43286</v>
      </c>
      <c r="E671" s="3">
        <v>43317</v>
      </c>
      <c r="F671" s="3">
        <v>43287</v>
      </c>
      <c r="G671">
        <v>210121</v>
      </c>
      <c r="H671">
        <v>243740</v>
      </c>
      <c r="I671">
        <v>3</v>
      </c>
    </row>
    <row r="672" spans="1:9" x14ac:dyDescent="0.2">
      <c r="A672" t="s">
        <v>41</v>
      </c>
      <c r="B672" t="s">
        <v>10</v>
      </c>
      <c r="C672" s="3">
        <v>43286</v>
      </c>
      <c r="D672" s="3">
        <v>43286</v>
      </c>
      <c r="E672" s="3">
        <v>43294</v>
      </c>
      <c r="G672">
        <v>50921.2</v>
      </c>
      <c r="H672">
        <v>59068.6</v>
      </c>
      <c r="I672" t="s">
        <v>11</v>
      </c>
    </row>
    <row r="673" spans="1:9" x14ac:dyDescent="0.2">
      <c r="A673" t="s">
        <v>13</v>
      </c>
      <c r="B673" t="s">
        <v>10</v>
      </c>
      <c r="C673" s="3">
        <v>43286</v>
      </c>
      <c r="D673" s="3">
        <v>43286</v>
      </c>
      <c r="E673" s="3">
        <v>43316</v>
      </c>
      <c r="G673">
        <v>800</v>
      </c>
      <c r="H673">
        <v>928</v>
      </c>
      <c r="I673" t="s">
        <v>11</v>
      </c>
    </row>
    <row r="674" spans="1:9" x14ac:dyDescent="0.2">
      <c r="A674" t="s">
        <v>27</v>
      </c>
      <c r="B674" t="s">
        <v>10</v>
      </c>
      <c r="C674" s="3">
        <v>43286</v>
      </c>
      <c r="D674" s="3">
        <v>43286</v>
      </c>
      <c r="E674" s="3">
        <v>43301</v>
      </c>
      <c r="G674">
        <v>4153.08</v>
      </c>
      <c r="H674">
        <v>4817.57</v>
      </c>
      <c r="I674" t="s">
        <v>11</v>
      </c>
    </row>
    <row r="675" spans="1:9" x14ac:dyDescent="0.2">
      <c r="A675" t="s">
        <v>41</v>
      </c>
      <c r="B675" t="s">
        <v>10</v>
      </c>
      <c r="C675" s="3">
        <v>43286</v>
      </c>
      <c r="D675" s="3">
        <v>43286</v>
      </c>
      <c r="E675" s="3">
        <v>43294</v>
      </c>
      <c r="G675">
        <v>17156.900000000001</v>
      </c>
      <c r="H675">
        <v>19902</v>
      </c>
      <c r="I675" t="s">
        <v>11</v>
      </c>
    </row>
    <row r="676" spans="1:9" x14ac:dyDescent="0.2">
      <c r="A676" t="s">
        <v>18</v>
      </c>
      <c r="B676" t="s">
        <v>10</v>
      </c>
      <c r="C676" s="3">
        <v>43285</v>
      </c>
      <c r="D676" s="3">
        <v>43285</v>
      </c>
      <c r="E676" s="3">
        <v>43315</v>
      </c>
      <c r="G676">
        <v>8712</v>
      </c>
      <c r="H676">
        <v>10105.9</v>
      </c>
      <c r="I676" t="s">
        <v>11</v>
      </c>
    </row>
    <row r="677" spans="1:9" x14ac:dyDescent="0.2">
      <c r="A677" t="s">
        <v>18</v>
      </c>
      <c r="B677" t="s">
        <v>14</v>
      </c>
      <c r="C677" s="3">
        <v>43285</v>
      </c>
      <c r="D677" s="3">
        <v>43285</v>
      </c>
      <c r="E677" s="3">
        <v>43315</v>
      </c>
      <c r="F677" s="3">
        <v>43285</v>
      </c>
      <c r="G677">
        <v>8712</v>
      </c>
      <c r="H677">
        <v>10105.9</v>
      </c>
      <c r="I677">
        <v>3</v>
      </c>
    </row>
    <row r="678" spans="1:9" x14ac:dyDescent="0.2">
      <c r="A678" t="s">
        <v>13</v>
      </c>
      <c r="B678" t="s">
        <v>10</v>
      </c>
      <c r="C678" s="3">
        <v>43284</v>
      </c>
      <c r="D678" s="3">
        <v>43284</v>
      </c>
      <c r="E678" s="3">
        <v>43314</v>
      </c>
      <c r="G678">
        <v>24484</v>
      </c>
      <c r="H678">
        <v>28401.4</v>
      </c>
      <c r="I678" t="s">
        <v>11</v>
      </c>
    </row>
    <row r="679" spans="1:9" x14ac:dyDescent="0.2">
      <c r="A679" t="s">
        <v>13</v>
      </c>
      <c r="B679" t="s">
        <v>10</v>
      </c>
      <c r="C679" s="3">
        <v>43284</v>
      </c>
      <c r="D679" s="3">
        <v>43284</v>
      </c>
      <c r="E679" s="3">
        <v>43314</v>
      </c>
      <c r="G679">
        <v>11184</v>
      </c>
      <c r="H679">
        <v>12973.4</v>
      </c>
      <c r="I679" t="s">
        <v>11</v>
      </c>
    </row>
    <row r="680" spans="1:9" x14ac:dyDescent="0.2">
      <c r="A680" t="s">
        <v>36</v>
      </c>
      <c r="B680" t="s">
        <v>10</v>
      </c>
      <c r="C680" s="3">
        <v>43283</v>
      </c>
      <c r="D680" s="3">
        <v>43283</v>
      </c>
      <c r="E680" s="3">
        <v>43298</v>
      </c>
      <c r="G680">
        <v>3168</v>
      </c>
      <c r="H680">
        <v>3674.88</v>
      </c>
      <c r="I680" t="s">
        <v>11</v>
      </c>
    </row>
    <row r="681" spans="1:9" x14ac:dyDescent="0.2">
      <c r="A681" t="s">
        <v>18</v>
      </c>
      <c r="B681" t="s">
        <v>10</v>
      </c>
      <c r="C681" s="3">
        <v>43283</v>
      </c>
      <c r="D681" s="3">
        <v>43283</v>
      </c>
      <c r="E681" s="3">
        <v>43313</v>
      </c>
      <c r="G681">
        <v>810</v>
      </c>
      <c r="H681">
        <v>939.6</v>
      </c>
      <c r="I681" t="s">
        <v>11</v>
      </c>
    </row>
    <row r="682" spans="1:9" x14ac:dyDescent="0.2">
      <c r="A682" t="s">
        <v>41</v>
      </c>
      <c r="B682" t="s">
        <v>10</v>
      </c>
      <c r="C682" s="3">
        <v>43283</v>
      </c>
      <c r="D682" s="3">
        <v>43283</v>
      </c>
      <c r="E682" s="3">
        <v>43291</v>
      </c>
      <c r="G682">
        <v>59213.3</v>
      </c>
      <c r="H682">
        <v>68687.5</v>
      </c>
      <c r="I682" t="s">
        <v>11</v>
      </c>
    </row>
    <row r="683" spans="1:9" x14ac:dyDescent="0.2">
      <c r="A683" t="s">
        <v>19</v>
      </c>
      <c r="B683" t="s">
        <v>10</v>
      </c>
      <c r="C683" s="3">
        <v>43280</v>
      </c>
      <c r="D683" s="3">
        <v>43280</v>
      </c>
      <c r="E683" s="3">
        <v>43295</v>
      </c>
      <c r="G683">
        <v>2690</v>
      </c>
      <c r="H683">
        <v>3120.4</v>
      </c>
      <c r="I683" t="s">
        <v>11</v>
      </c>
    </row>
    <row r="684" spans="1:9" x14ac:dyDescent="0.2">
      <c r="A684" t="s">
        <v>18</v>
      </c>
      <c r="B684" t="s">
        <v>14</v>
      </c>
      <c r="C684" s="3">
        <v>43279</v>
      </c>
      <c r="D684" s="3">
        <v>43279</v>
      </c>
      <c r="E684" s="3">
        <v>43309</v>
      </c>
      <c r="F684" s="3">
        <v>43280</v>
      </c>
      <c r="G684">
        <v>2690</v>
      </c>
      <c r="H684">
        <v>3120.4</v>
      </c>
      <c r="I684">
        <v>3</v>
      </c>
    </row>
    <row r="685" spans="1:9" x14ac:dyDescent="0.2">
      <c r="A685" t="s">
        <v>25</v>
      </c>
      <c r="B685" t="s">
        <v>10</v>
      </c>
      <c r="C685" s="3">
        <v>43279</v>
      </c>
      <c r="D685" s="3">
        <v>43279</v>
      </c>
      <c r="E685" s="3">
        <v>43309</v>
      </c>
      <c r="G685">
        <v>20552</v>
      </c>
      <c r="H685">
        <v>23840.3</v>
      </c>
      <c r="I685" t="s">
        <v>11</v>
      </c>
    </row>
    <row r="686" spans="1:9" x14ac:dyDescent="0.2">
      <c r="A686" t="s">
        <v>18</v>
      </c>
      <c r="B686" t="s">
        <v>10</v>
      </c>
      <c r="C686" s="3">
        <v>43279</v>
      </c>
      <c r="D686" s="3">
        <v>43279</v>
      </c>
      <c r="E686" s="3">
        <v>43309</v>
      </c>
      <c r="G686">
        <v>29876</v>
      </c>
      <c r="H686">
        <v>34656.1</v>
      </c>
      <c r="I686" t="s">
        <v>11</v>
      </c>
    </row>
    <row r="687" spans="1:9" x14ac:dyDescent="0.2">
      <c r="A687" t="s">
        <v>50</v>
      </c>
      <c r="B687" t="s">
        <v>10</v>
      </c>
      <c r="C687" s="3">
        <v>43278</v>
      </c>
      <c r="D687" s="3">
        <v>43278</v>
      </c>
      <c r="E687" s="3">
        <v>43293</v>
      </c>
      <c r="G687">
        <v>1746</v>
      </c>
      <c r="H687">
        <v>2025.36</v>
      </c>
      <c r="I687" t="s">
        <v>11</v>
      </c>
    </row>
    <row r="688" spans="1:9" x14ac:dyDescent="0.2">
      <c r="A688" t="s">
        <v>18</v>
      </c>
      <c r="B688" t="s">
        <v>10</v>
      </c>
      <c r="C688" s="3">
        <v>43278</v>
      </c>
      <c r="D688" s="3">
        <v>43278</v>
      </c>
      <c r="E688" s="3">
        <v>43308</v>
      </c>
      <c r="G688">
        <v>90</v>
      </c>
      <c r="H688">
        <v>104.4</v>
      </c>
      <c r="I688" t="s">
        <v>11</v>
      </c>
    </row>
    <row r="689" spans="1:9" x14ac:dyDescent="0.2">
      <c r="A689" t="s">
        <v>41</v>
      </c>
      <c r="B689" t="s">
        <v>10</v>
      </c>
      <c r="C689" s="3">
        <v>43278</v>
      </c>
      <c r="D689" s="3">
        <v>43278</v>
      </c>
      <c r="E689" s="3">
        <v>43286</v>
      </c>
      <c r="G689">
        <v>14234.5</v>
      </c>
      <c r="H689">
        <v>16512.099999999999</v>
      </c>
      <c r="I689" t="s">
        <v>11</v>
      </c>
    </row>
    <row r="690" spans="1:9" x14ac:dyDescent="0.2">
      <c r="A690" t="s">
        <v>41</v>
      </c>
      <c r="B690" t="s">
        <v>10</v>
      </c>
      <c r="C690" s="3">
        <v>43277</v>
      </c>
      <c r="D690" s="3">
        <v>43277</v>
      </c>
      <c r="E690" s="3">
        <v>43285</v>
      </c>
      <c r="G690">
        <v>20067.599999999999</v>
      </c>
      <c r="H690">
        <v>23278.400000000001</v>
      </c>
      <c r="I690" t="s">
        <v>11</v>
      </c>
    </row>
    <row r="691" spans="1:9" x14ac:dyDescent="0.2">
      <c r="A691" t="s">
        <v>18</v>
      </c>
      <c r="B691" t="s">
        <v>10</v>
      </c>
      <c r="C691" s="3">
        <v>43277</v>
      </c>
      <c r="D691" s="3">
        <v>43277</v>
      </c>
      <c r="E691" s="3">
        <v>43307</v>
      </c>
      <c r="G691">
        <v>34848</v>
      </c>
      <c r="H691">
        <v>40423.599999999999</v>
      </c>
      <c r="I691" t="s">
        <v>11</v>
      </c>
    </row>
    <row r="692" spans="1:9" x14ac:dyDescent="0.2">
      <c r="A692" t="s">
        <v>18</v>
      </c>
      <c r="B692" t="s">
        <v>10</v>
      </c>
      <c r="C692" s="3">
        <v>43277</v>
      </c>
      <c r="D692" s="3">
        <v>43277</v>
      </c>
      <c r="E692" s="3">
        <v>43307</v>
      </c>
      <c r="G692">
        <v>17424</v>
      </c>
      <c r="H692">
        <v>20211.8</v>
      </c>
      <c r="I692" t="s">
        <v>11</v>
      </c>
    </row>
    <row r="693" spans="1:9" x14ac:dyDescent="0.2">
      <c r="A693" t="s">
        <v>41</v>
      </c>
      <c r="B693" t="s">
        <v>10</v>
      </c>
      <c r="C693" s="3">
        <v>43272</v>
      </c>
      <c r="D693" s="3">
        <v>43272</v>
      </c>
      <c r="E693" s="3">
        <v>43280</v>
      </c>
      <c r="G693">
        <v>1033.46</v>
      </c>
      <c r="H693">
        <v>1198.81</v>
      </c>
      <c r="I693" t="s">
        <v>11</v>
      </c>
    </row>
    <row r="694" spans="1:9" x14ac:dyDescent="0.2">
      <c r="A694" t="s">
        <v>41</v>
      </c>
      <c r="B694" t="s">
        <v>10</v>
      </c>
      <c r="C694" s="3">
        <v>43272</v>
      </c>
      <c r="D694" s="3">
        <v>43272</v>
      </c>
      <c r="E694" s="3">
        <v>43280</v>
      </c>
      <c r="G694">
        <v>3535.63</v>
      </c>
      <c r="H694">
        <v>4101.33</v>
      </c>
      <c r="I694" t="s">
        <v>11</v>
      </c>
    </row>
    <row r="695" spans="1:9" x14ac:dyDescent="0.2">
      <c r="A695" t="s">
        <v>41</v>
      </c>
      <c r="B695" t="s">
        <v>10</v>
      </c>
      <c r="C695" s="3">
        <v>43272</v>
      </c>
      <c r="D695" s="3">
        <v>43272</v>
      </c>
      <c r="E695" s="3">
        <v>43280</v>
      </c>
      <c r="G695">
        <v>2140.69</v>
      </c>
      <c r="H695">
        <v>2483.1999999999998</v>
      </c>
      <c r="I695" t="s">
        <v>11</v>
      </c>
    </row>
    <row r="696" spans="1:9" x14ac:dyDescent="0.2">
      <c r="A696" t="s">
        <v>41</v>
      </c>
      <c r="B696" t="s">
        <v>10</v>
      </c>
      <c r="C696" s="3">
        <v>43272</v>
      </c>
      <c r="D696" s="3">
        <v>43272</v>
      </c>
      <c r="E696" s="3">
        <v>43280</v>
      </c>
      <c r="G696">
        <v>2140.69</v>
      </c>
      <c r="H696">
        <v>2483.1999999999998</v>
      </c>
      <c r="I696" t="s">
        <v>11</v>
      </c>
    </row>
    <row r="697" spans="1:9" x14ac:dyDescent="0.2">
      <c r="A697" t="s">
        <v>18</v>
      </c>
      <c r="B697" t="s">
        <v>10</v>
      </c>
      <c r="C697" s="3">
        <v>43272</v>
      </c>
      <c r="D697" s="3">
        <v>43272</v>
      </c>
      <c r="E697" s="3">
        <v>43302</v>
      </c>
      <c r="G697">
        <v>8266</v>
      </c>
      <c r="H697">
        <v>9588.56</v>
      </c>
      <c r="I697" t="s">
        <v>11</v>
      </c>
    </row>
    <row r="698" spans="1:9" x14ac:dyDescent="0.2">
      <c r="A698" t="s">
        <v>13</v>
      </c>
      <c r="B698" t="s">
        <v>10</v>
      </c>
      <c r="C698" s="3">
        <v>43271</v>
      </c>
      <c r="D698" s="3">
        <v>43271</v>
      </c>
      <c r="E698" s="3">
        <v>43301</v>
      </c>
      <c r="G698">
        <v>240</v>
      </c>
      <c r="H698">
        <v>278.39999999999998</v>
      </c>
      <c r="I698" t="s">
        <v>11</v>
      </c>
    </row>
    <row r="699" spans="1:9" x14ac:dyDescent="0.2">
      <c r="A699" t="s">
        <v>22</v>
      </c>
      <c r="B699" t="s">
        <v>10</v>
      </c>
      <c r="C699" s="3">
        <v>43269</v>
      </c>
      <c r="D699" s="3">
        <v>43269</v>
      </c>
      <c r="E699" s="3">
        <v>43299</v>
      </c>
      <c r="G699">
        <v>5899.5</v>
      </c>
      <c r="H699">
        <v>6843.42</v>
      </c>
      <c r="I699" t="s">
        <v>11</v>
      </c>
    </row>
    <row r="700" spans="1:9" x14ac:dyDescent="0.2">
      <c r="A700" t="s">
        <v>18</v>
      </c>
      <c r="B700" t="s">
        <v>10</v>
      </c>
      <c r="C700" s="3">
        <v>43269</v>
      </c>
      <c r="D700" s="3">
        <v>43269</v>
      </c>
      <c r="E700" s="3">
        <v>43299</v>
      </c>
      <c r="G700">
        <v>6624</v>
      </c>
      <c r="H700">
        <v>7683.84</v>
      </c>
      <c r="I700" t="s">
        <v>11</v>
      </c>
    </row>
    <row r="701" spans="1:9" x14ac:dyDescent="0.2">
      <c r="A701" t="s">
        <v>18</v>
      </c>
      <c r="B701" t="s">
        <v>10</v>
      </c>
      <c r="C701" s="3">
        <v>43264</v>
      </c>
      <c r="D701" s="3">
        <v>43264</v>
      </c>
      <c r="E701" s="3">
        <v>43294</v>
      </c>
      <c r="G701">
        <v>5000</v>
      </c>
      <c r="H701">
        <v>5800</v>
      </c>
      <c r="I701" t="s">
        <v>11</v>
      </c>
    </row>
    <row r="702" spans="1:9" x14ac:dyDescent="0.2">
      <c r="A702" t="s">
        <v>18</v>
      </c>
      <c r="B702" t="s">
        <v>14</v>
      </c>
      <c r="C702" s="3">
        <v>43264</v>
      </c>
      <c r="D702" s="3">
        <v>43264</v>
      </c>
      <c r="E702" s="3">
        <v>43294</v>
      </c>
      <c r="F702" s="3">
        <v>43265</v>
      </c>
      <c r="G702">
        <v>6624</v>
      </c>
      <c r="H702">
        <v>7683.84</v>
      </c>
      <c r="I702">
        <v>3</v>
      </c>
    </row>
    <row r="703" spans="1:9" x14ac:dyDescent="0.2">
      <c r="A703" t="s">
        <v>41</v>
      </c>
      <c r="B703" t="s">
        <v>10</v>
      </c>
      <c r="C703" s="3">
        <v>43264</v>
      </c>
      <c r="D703" s="3">
        <v>43264</v>
      </c>
      <c r="E703" s="3">
        <v>43272</v>
      </c>
      <c r="G703">
        <v>42749.5</v>
      </c>
      <c r="H703">
        <v>49589.4</v>
      </c>
      <c r="I703" t="s">
        <v>11</v>
      </c>
    </row>
    <row r="704" spans="1:9" x14ac:dyDescent="0.2">
      <c r="A704" t="s">
        <v>51</v>
      </c>
      <c r="B704" t="s">
        <v>10</v>
      </c>
      <c r="C704" s="3">
        <v>43264</v>
      </c>
      <c r="D704" s="3">
        <v>43264</v>
      </c>
      <c r="E704" s="3">
        <v>43279</v>
      </c>
      <c r="G704">
        <v>5250</v>
      </c>
      <c r="H704">
        <v>6090</v>
      </c>
      <c r="I704" t="s">
        <v>38</v>
      </c>
    </row>
    <row r="705" spans="1:9" x14ac:dyDescent="0.2">
      <c r="A705" t="s">
        <v>17</v>
      </c>
      <c r="B705" t="s">
        <v>10</v>
      </c>
      <c r="C705" s="3">
        <v>43264</v>
      </c>
      <c r="D705" s="3">
        <v>43264</v>
      </c>
      <c r="E705" s="3">
        <v>43309</v>
      </c>
      <c r="G705">
        <v>25202</v>
      </c>
      <c r="H705">
        <v>29234.3</v>
      </c>
      <c r="I705" t="s">
        <v>11</v>
      </c>
    </row>
    <row r="706" spans="1:9" x14ac:dyDescent="0.2">
      <c r="A706" t="s">
        <v>41</v>
      </c>
      <c r="B706" t="s">
        <v>10</v>
      </c>
      <c r="C706" s="3">
        <v>43263</v>
      </c>
      <c r="D706" s="3">
        <v>43263</v>
      </c>
      <c r="E706" s="3">
        <v>43271</v>
      </c>
      <c r="G706">
        <v>4852.0600000000004</v>
      </c>
      <c r="H706">
        <v>5628.39</v>
      </c>
      <c r="I706" t="s">
        <v>11</v>
      </c>
    </row>
    <row r="707" spans="1:9" x14ac:dyDescent="0.2">
      <c r="A707" t="s">
        <v>52</v>
      </c>
      <c r="B707" t="s">
        <v>10</v>
      </c>
      <c r="C707" s="3">
        <v>43258</v>
      </c>
      <c r="D707" s="3">
        <v>43258</v>
      </c>
      <c r="E707" s="3">
        <v>43265</v>
      </c>
      <c r="G707">
        <v>2688</v>
      </c>
      <c r="H707">
        <v>3118.08</v>
      </c>
      <c r="I707" t="s">
        <v>38</v>
      </c>
    </row>
    <row r="708" spans="1:9" x14ac:dyDescent="0.2">
      <c r="A708" t="s">
        <v>41</v>
      </c>
      <c r="B708" t="s">
        <v>10</v>
      </c>
      <c r="C708" s="3">
        <v>43257</v>
      </c>
      <c r="D708" s="3">
        <v>43257</v>
      </c>
      <c r="E708" s="3">
        <v>43265</v>
      </c>
      <c r="G708">
        <v>27973</v>
      </c>
      <c r="H708">
        <v>32448.6</v>
      </c>
      <c r="I708" t="s">
        <v>11</v>
      </c>
    </row>
    <row r="709" spans="1:9" x14ac:dyDescent="0.2">
      <c r="A709" t="s">
        <v>20</v>
      </c>
      <c r="B709" t="s">
        <v>10</v>
      </c>
      <c r="C709" s="3">
        <v>43257</v>
      </c>
      <c r="D709" s="3">
        <v>43257</v>
      </c>
      <c r="E709" s="3">
        <v>43302</v>
      </c>
      <c r="G709">
        <v>32474.6</v>
      </c>
      <c r="H709">
        <v>37670.6</v>
      </c>
      <c r="I709" t="s">
        <v>11</v>
      </c>
    </row>
    <row r="710" spans="1:9" x14ac:dyDescent="0.2">
      <c r="A710" t="s">
        <v>41</v>
      </c>
      <c r="B710" t="s">
        <v>10</v>
      </c>
      <c r="C710" s="3">
        <v>43256</v>
      </c>
      <c r="D710" s="3">
        <v>43256</v>
      </c>
      <c r="E710" s="3">
        <v>43264</v>
      </c>
      <c r="G710">
        <v>21327.599999999999</v>
      </c>
      <c r="H710">
        <v>24740</v>
      </c>
      <c r="I710" t="s">
        <v>11</v>
      </c>
    </row>
    <row r="711" spans="1:9" x14ac:dyDescent="0.2">
      <c r="A711" t="s">
        <v>18</v>
      </c>
      <c r="B711" t="s">
        <v>10</v>
      </c>
      <c r="C711" s="3">
        <v>43255</v>
      </c>
      <c r="D711" s="3">
        <v>43255</v>
      </c>
      <c r="E711" s="3">
        <v>43285</v>
      </c>
      <c r="G711">
        <v>3418</v>
      </c>
      <c r="H711">
        <v>3964.88</v>
      </c>
      <c r="I711" t="s">
        <v>11</v>
      </c>
    </row>
    <row r="712" spans="1:9" x14ac:dyDescent="0.2">
      <c r="A712" t="s">
        <v>41</v>
      </c>
      <c r="B712" t="s">
        <v>10</v>
      </c>
      <c r="C712" s="3">
        <v>43255</v>
      </c>
      <c r="D712" s="3">
        <v>43255</v>
      </c>
      <c r="E712" s="3">
        <v>43263</v>
      </c>
      <c r="G712">
        <v>3896.1</v>
      </c>
      <c r="H712">
        <v>4519.4799999999996</v>
      </c>
      <c r="I712" t="s">
        <v>11</v>
      </c>
    </row>
    <row r="713" spans="1:9" x14ac:dyDescent="0.2">
      <c r="A713" t="s">
        <v>41</v>
      </c>
      <c r="B713" t="s">
        <v>10</v>
      </c>
      <c r="C713" s="3">
        <v>43255</v>
      </c>
      <c r="D713" s="3">
        <v>43255</v>
      </c>
      <c r="E713" s="3">
        <v>43263</v>
      </c>
      <c r="G713">
        <v>3014.38</v>
      </c>
      <c r="H713">
        <v>3496.68</v>
      </c>
      <c r="I713" t="s">
        <v>11</v>
      </c>
    </row>
    <row r="714" spans="1:9" x14ac:dyDescent="0.2">
      <c r="A714" t="s">
        <v>41</v>
      </c>
      <c r="B714" t="s">
        <v>10</v>
      </c>
      <c r="C714" s="3">
        <v>43251</v>
      </c>
      <c r="D714" s="3">
        <v>43251</v>
      </c>
      <c r="E714" s="3">
        <v>43259</v>
      </c>
      <c r="G714">
        <v>23433.7</v>
      </c>
      <c r="H714">
        <v>27183.1</v>
      </c>
      <c r="I714" t="s">
        <v>11</v>
      </c>
    </row>
    <row r="715" spans="1:9" x14ac:dyDescent="0.2">
      <c r="A715" t="s">
        <v>18</v>
      </c>
      <c r="B715" t="s">
        <v>10</v>
      </c>
      <c r="C715" s="3">
        <v>43250</v>
      </c>
      <c r="D715" s="3">
        <v>43250</v>
      </c>
      <c r="E715" s="3">
        <v>43280</v>
      </c>
      <c r="G715">
        <v>17424</v>
      </c>
      <c r="H715">
        <v>20211.8</v>
      </c>
      <c r="I715" t="s">
        <v>11</v>
      </c>
    </row>
    <row r="716" spans="1:9" x14ac:dyDescent="0.2">
      <c r="A716" t="s">
        <v>18</v>
      </c>
      <c r="B716" t="s">
        <v>10</v>
      </c>
      <c r="C716" s="3">
        <v>43248</v>
      </c>
      <c r="D716" s="3">
        <v>43248</v>
      </c>
      <c r="E716" s="3">
        <v>43278</v>
      </c>
      <c r="G716">
        <v>2600</v>
      </c>
      <c r="H716">
        <v>3016</v>
      </c>
      <c r="I716" t="s">
        <v>11</v>
      </c>
    </row>
    <row r="717" spans="1:9" x14ac:dyDescent="0.2">
      <c r="A717" t="s">
        <v>27</v>
      </c>
      <c r="B717" t="s">
        <v>10</v>
      </c>
      <c r="C717" s="3">
        <v>43244</v>
      </c>
      <c r="D717" s="3">
        <v>43244</v>
      </c>
      <c r="E717" s="3">
        <v>43259</v>
      </c>
      <c r="G717">
        <v>4187</v>
      </c>
      <c r="H717">
        <v>4856.92</v>
      </c>
      <c r="I717" t="s">
        <v>11</v>
      </c>
    </row>
    <row r="718" spans="1:9" x14ac:dyDescent="0.2">
      <c r="A718" t="s">
        <v>27</v>
      </c>
      <c r="B718" t="s">
        <v>14</v>
      </c>
      <c r="C718" s="3">
        <v>43244</v>
      </c>
      <c r="D718" s="3">
        <v>43244</v>
      </c>
      <c r="E718" s="3">
        <v>43259</v>
      </c>
      <c r="F718" s="3">
        <v>43244</v>
      </c>
      <c r="G718">
        <v>212</v>
      </c>
      <c r="H718">
        <v>245.92</v>
      </c>
      <c r="I718">
        <v>3</v>
      </c>
    </row>
    <row r="719" spans="1:9" x14ac:dyDescent="0.2">
      <c r="A719" t="s">
        <v>27</v>
      </c>
      <c r="B719" t="s">
        <v>10</v>
      </c>
      <c r="C719" s="3">
        <v>43244</v>
      </c>
      <c r="D719" s="3">
        <v>43244</v>
      </c>
      <c r="E719" s="3">
        <v>43259</v>
      </c>
      <c r="G719">
        <v>4187</v>
      </c>
      <c r="H719">
        <v>4856.92</v>
      </c>
      <c r="I719" t="s">
        <v>11</v>
      </c>
    </row>
    <row r="720" spans="1:9" x14ac:dyDescent="0.2">
      <c r="A720" t="s">
        <v>27</v>
      </c>
      <c r="B720" t="s">
        <v>10</v>
      </c>
      <c r="C720" s="3">
        <v>43244</v>
      </c>
      <c r="D720" s="3">
        <v>43244</v>
      </c>
      <c r="E720" s="3">
        <v>43259</v>
      </c>
      <c r="G720">
        <v>4187</v>
      </c>
      <c r="H720">
        <v>4856.92</v>
      </c>
      <c r="I720" t="s">
        <v>11</v>
      </c>
    </row>
    <row r="721" spans="1:9" x14ac:dyDescent="0.2">
      <c r="A721" t="s">
        <v>27</v>
      </c>
      <c r="B721" t="s">
        <v>10</v>
      </c>
      <c r="C721" s="3">
        <v>43244</v>
      </c>
      <c r="D721" s="3">
        <v>43244</v>
      </c>
      <c r="E721" s="3">
        <v>43259</v>
      </c>
      <c r="G721">
        <v>4187</v>
      </c>
      <c r="H721">
        <v>4856.92</v>
      </c>
      <c r="I721" t="s">
        <v>11</v>
      </c>
    </row>
    <row r="722" spans="1:9" x14ac:dyDescent="0.2">
      <c r="A722" t="s">
        <v>27</v>
      </c>
      <c r="B722" t="s">
        <v>29</v>
      </c>
      <c r="C722" s="3">
        <v>43244</v>
      </c>
      <c r="D722" s="3">
        <v>43244</v>
      </c>
      <c r="E722" s="3">
        <v>43259</v>
      </c>
      <c r="G722">
        <v>4187</v>
      </c>
      <c r="H722">
        <v>4856.92</v>
      </c>
      <c r="I722" t="s">
        <v>11</v>
      </c>
    </row>
    <row r="723" spans="1:9" x14ac:dyDescent="0.2">
      <c r="A723" t="s">
        <v>27</v>
      </c>
      <c r="B723" t="s">
        <v>10</v>
      </c>
      <c r="C723" s="3">
        <v>43244</v>
      </c>
      <c r="D723" s="3">
        <v>43244</v>
      </c>
      <c r="E723" s="3">
        <v>43259</v>
      </c>
      <c r="G723">
        <v>8374</v>
      </c>
      <c r="H723">
        <v>9713.84</v>
      </c>
      <c r="I723" t="s">
        <v>11</v>
      </c>
    </row>
    <row r="724" spans="1:9" x14ac:dyDescent="0.2">
      <c r="A724" t="s">
        <v>27</v>
      </c>
      <c r="B724" t="s">
        <v>10</v>
      </c>
      <c r="C724" s="3">
        <v>43244</v>
      </c>
      <c r="D724" s="3">
        <v>43244</v>
      </c>
      <c r="E724" s="3">
        <v>43259</v>
      </c>
      <c r="G724">
        <v>8374</v>
      </c>
      <c r="H724">
        <v>9713.84</v>
      </c>
      <c r="I724" t="s">
        <v>11</v>
      </c>
    </row>
    <row r="725" spans="1:9" x14ac:dyDescent="0.2">
      <c r="A725" t="s">
        <v>27</v>
      </c>
      <c r="B725" t="s">
        <v>10</v>
      </c>
      <c r="C725" s="3">
        <v>43244</v>
      </c>
      <c r="D725" s="3">
        <v>43244</v>
      </c>
      <c r="E725" s="3">
        <v>43259</v>
      </c>
      <c r="G725">
        <v>4187</v>
      </c>
      <c r="H725">
        <v>4856.92</v>
      </c>
      <c r="I725" t="s">
        <v>11</v>
      </c>
    </row>
    <row r="726" spans="1:9" x14ac:dyDescent="0.2">
      <c r="A726" t="s">
        <v>27</v>
      </c>
      <c r="B726" t="s">
        <v>10</v>
      </c>
      <c r="C726" s="3">
        <v>43244</v>
      </c>
      <c r="D726" s="3">
        <v>43244</v>
      </c>
      <c r="E726" s="3">
        <v>43259</v>
      </c>
      <c r="G726">
        <v>4187</v>
      </c>
      <c r="H726">
        <v>4856.92</v>
      </c>
      <c r="I726" t="s">
        <v>11</v>
      </c>
    </row>
    <row r="727" spans="1:9" x14ac:dyDescent="0.2">
      <c r="A727" t="s">
        <v>27</v>
      </c>
      <c r="B727" t="s">
        <v>10</v>
      </c>
      <c r="C727" s="3">
        <v>43244</v>
      </c>
      <c r="D727" s="3">
        <v>43244</v>
      </c>
      <c r="E727" s="3">
        <v>43259</v>
      </c>
      <c r="G727">
        <v>8374</v>
      </c>
      <c r="H727">
        <v>9713.84</v>
      </c>
      <c r="I727" t="s">
        <v>11</v>
      </c>
    </row>
    <row r="728" spans="1:9" x14ac:dyDescent="0.2">
      <c r="A728" t="s">
        <v>27</v>
      </c>
      <c r="B728" t="s">
        <v>10</v>
      </c>
      <c r="C728" s="3">
        <v>43244</v>
      </c>
      <c r="D728" s="3">
        <v>43244</v>
      </c>
      <c r="E728" s="3">
        <v>43259</v>
      </c>
      <c r="G728">
        <v>4187</v>
      </c>
      <c r="H728">
        <v>4856.92</v>
      </c>
      <c r="I728" t="s">
        <v>11</v>
      </c>
    </row>
    <row r="729" spans="1:9" x14ac:dyDescent="0.2">
      <c r="A729" t="s">
        <v>27</v>
      </c>
      <c r="B729" t="s">
        <v>10</v>
      </c>
      <c r="C729" s="3">
        <v>43244</v>
      </c>
      <c r="D729" s="3">
        <v>43244</v>
      </c>
      <c r="E729" s="3">
        <v>43259</v>
      </c>
      <c r="G729">
        <v>4187</v>
      </c>
      <c r="H729">
        <v>4856.92</v>
      </c>
      <c r="I729" t="s">
        <v>11</v>
      </c>
    </row>
    <row r="730" spans="1:9" x14ac:dyDescent="0.2">
      <c r="A730" t="s">
        <v>27</v>
      </c>
      <c r="B730" t="s">
        <v>14</v>
      </c>
      <c r="C730" s="3">
        <v>43244</v>
      </c>
      <c r="D730" s="3">
        <v>43244</v>
      </c>
      <c r="E730" s="3">
        <v>43259</v>
      </c>
      <c r="F730" s="3">
        <v>43244</v>
      </c>
      <c r="G730">
        <v>4187</v>
      </c>
      <c r="H730">
        <v>4856.92</v>
      </c>
      <c r="I730">
        <v>3</v>
      </c>
    </row>
    <row r="731" spans="1:9" x14ac:dyDescent="0.2">
      <c r="A731" t="s">
        <v>27</v>
      </c>
      <c r="B731" t="s">
        <v>10</v>
      </c>
      <c r="C731" s="3">
        <v>43244</v>
      </c>
      <c r="D731" s="3">
        <v>43244</v>
      </c>
      <c r="E731" s="3">
        <v>43259</v>
      </c>
      <c r="G731">
        <v>4187</v>
      </c>
      <c r="H731">
        <v>4856.92</v>
      </c>
      <c r="I731" t="s">
        <v>11</v>
      </c>
    </row>
    <row r="732" spans="1:9" x14ac:dyDescent="0.2">
      <c r="A732" t="s">
        <v>41</v>
      </c>
      <c r="B732" t="s">
        <v>10</v>
      </c>
      <c r="C732" s="3">
        <v>43244</v>
      </c>
      <c r="D732" s="3">
        <v>43244</v>
      </c>
      <c r="E732" s="3">
        <v>43252</v>
      </c>
      <c r="G732">
        <v>13956.9</v>
      </c>
      <c r="H732">
        <v>16190</v>
      </c>
      <c r="I732" t="s">
        <v>11</v>
      </c>
    </row>
    <row r="733" spans="1:9" x14ac:dyDescent="0.2">
      <c r="A733" t="s">
        <v>22</v>
      </c>
      <c r="B733" t="s">
        <v>10</v>
      </c>
      <c r="C733" s="3">
        <v>43243</v>
      </c>
      <c r="D733" s="3">
        <v>43243</v>
      </c>
      <c r="E733" s="3">
        <v>43273</v>
      </c>
      <c r="G733">
        <v>24807.8</v>
      </c>
      <c r="H733">
        <v>28777.1</v>
      </c>
      <c r="I733" t="s">
        <v>11</v>
      </c>
    </row>
    <row r="734" spans="1:9" x14ac:dyDescent="0.2">
      <c r="A734" t="s">
        <v>22</v>
      </c>
      <c r="B734" t="s">
        <v>10</v>
      </c>
      <c r="C734" s="3">
        <v>43243</v>
      </c>
      <c r="D734" s="3">
        <v>43243</v>
      </c>
      <c r="E734" s="3">
        <v>43273</v>
      </c>
      <c r="G734">
        <v>320</v>
      </c>
      <c r="H734">
        <v>371.2</v>
      </c>
      <c r="I734" t="s">
        <v>11</v>
      </c>
    </row>
    <row r="735" spans="1:9" x14ac:dyDescent="0.2">
      <c r="A735" t="s">
        <v>41</v>
      </c>
      <c r="B735" t="s">
        <v>10</v>
      </c>
      <c r="C735" s="3">
        <v>43243</v>
      </c>
      <c r="D735" s="3">
        <v>43243</v>
      </c>
      <c r="E735" s="3">
        <v>43251</v>
      </c>
      <c r="G735">
        <v>4258.1499999999996</v>
      </c>
      <c r="H735">
        <v>4939.46</v>
      </c>
      <c r="I735" t="s">
        <v>11</v>
      </c>
    </row>
    <row r="736" spans="1:9" x14ac:dyDescent="0.2">
      <c r="A736" t="s">
        <v>41</v>
      </c>
      <c r="B736" t="s">
        <v>10</v>
      </c>
      <c r="C736" s="3">
        <v>43242</v>
      </c>
      <c r="D736" s="3">
        <v>43242</v>
      </c>
      <c r="E736" s="3">
        <v>43250</v>
      </c>
      <c r="G736">
        <v>4295.3100000000004</v>
      </c>
      <c r="H736">
        <v>4982.5600000000004</v>
      </c>
      <c r="I736" t="s">
        <v>11</v>
      </c>
    </row>
    <row r="737" spans="1:9" x14ac:dyDescent="0.2">
      <c r="A737" t="s">
        <v>27</v>
      </c>
      <c r="B737" t="s">
        <v>10</v>
      </c>
      <c r="C737" s="3">
        <v>43242</v>
      </c>
      <c r="D737" s="3">
        <v>43242</v>
      </c>
      <c r="E737" s="3">
        <v>43257</v>
      </c>
      <c r="G737">
        <v>4225.16</v>
      </c>
      <c r="H737">
        <v>4901.1899999999996</v>
      </c>
      <c r="I737" t="s">
        <v>11</v>
      </c>
    </row>
    <row r="738" spans="1:9" x14ac:dyDescent="0.2">
      <c r="A738" t="s">
        <v>18</v>
      </c>
      <c r="B738" t="s">
        <v>10</v>
      </c>
      <c r="C738" s="3">
        <v>43242</v>
      </c>
      <c r="D738" s="3">
        <v>43242</v>
      </c>
      <c r="E738" s="3">
        <v>43272</v>
      </c>
      <c r="G738">
        <v>17424</v>
      </c>
      <c r="H738">
        <v>20211.8</v>
      </c>
      <c r="I738" t="s">
        <v>11</v>
      </c>
    </row>
    <row r="739" spans="1:9" x14ac:dyDescent="0.2">
      <c r="A739" t="s">
        <v>18</v>
      </c>
      <c r="B739" t="s">
        <v>10</v>
      </c>
      <c r="C739" s="3">
        <v>43242</v>
      </c>
      <c r="D739" s="3">
        <v>43242</v>
      </c>
      <c r="E739" s="3">
        <v>43272</v>
      </c>
      <c r="G739">
        <v>18348</v>
      </c>
      <c r="H739">
        <v>21283.599999999999</v>
      </c>
      <c r="I739" t="s">
        <v>11</v>
      </c>
    </row>
    <row r="740" spans="1:9" x14ac:dyDescent="0.2">
      <c r="A740" t="s">
        <v>18</v>
      </c>
      <c r="B740" t="s">
        <v>10</v>
      </c>
      <c r="C740" s="3">
        <v>43241</v>
      </c>
      <c r="D740" s="3">
        <v>43241</v>
      </c>
      <c r="E740" s="3">
        <v>43271</v>
      </c>
      <c r="G740">
        <v>5012</v>
      </c>
      <c r="H740">
        <v>5813.92</v>
      </c>
      <c r="I740" t="s">
        <v>11</v>
      </c>
    </row>
    <row r="741" spans="1:9" x14ac:dyDescent="0.2">
      <c r="A741" t="s">
        <v>18</v>
      </c>
      <c r="B741" t="s">
        <v>10</v>
      </c>
      <c r="C741" s="3">
        <v>43241</v>
      </c>
      <c r="D741" s="3">
        <v>43241</v>
      </c>
      <c r="E741" s="3">
        <v>43271</v>
      </c>
      <c r="G741">
        <v>11540</v>
      </c>
      <c r="H741">
        <v>13386.4</v>
      </c>
      <c r="I741" t="s">
        <v>11</v>
      </c>
    </row>
    <row r="742" spans="1:9" x14ac:dyDescent="0.2">
      <c r="A742" t="s">
        <v>18</v>
      </c>
      <c r="B742" t="s">
        <v>10</v>
      </c>
      <c r="C742" s="3">
        <v>43241</v>
      </c>
      <c r="D742" s="3">
        <v>43241</v>
      </c>
      <c r="E742" s="3">
        <v>43271</v>
      </c>
      <c r="G742">
        <v>5000</v>
      </c>
      <c r="H742">
        <v>5800</v>
      </c>
      <c r="I742" t="s">
        <v>11</v>
      </c>
    </row>
    <row r="743" spans="1:9" x14ac:dyDescent="0.2">
      <c r="A743" t="s">
        <v>25</v>
      </c>
      <c r="B743" t="s">
        <v>10</v>
      </c>
      <c r="C743" s="3">
        <v>43241</v>
      </c>
      <c r="D743" s="3">
        <v>43241</v>
      </c>
      <c r="E743" s="3">
        <v>43271</v>
      </c>
      <c r="G743">
        <v>19380</v>
      </c>
      <c r="H743">
        <v>22480.799999999999</v>
      </c>
      <c r="I743" t="s">
        <v>11</v>
      </c>
    </row>
    <row r="744" spans="1:9" x14ac:dyDescent="0.2">
      <c r="A744" t="s">
        <v>18</v>
      </c>
      <c r="B744" t="s">
        <v>10</v>
      </c>
      <c r="C744" s="3">
        <v>43241</v>
      </c>
      <c r="D744" s="3">
        <v>43241</v>
      </c>
      <c r="E744" s="3">
        <v>43271</v>
      </c>
      <c r="G744">
        <v>4824</v>
      </c>
      <c r="H744">
        <v>5595.84</v>
      </c>
      <c r="I744" t="s">
        <v>11</v>
      </c>
    </row>
    <row r="745" spans="1:9" x14ac:dyDescent="0.2">
      <c r="A745" t="s">
        <v>41</v>
      </c>
      <c r="B745" t="s">
        <v>10</v>
      </c>
      <c r="C745" s="3">
        <v>43238</v>
      </c>
      <c r="D745" s="3">
        <v>43238</v>
      </c>
      <c r="E745" s="3">
        <v>43246</v>
      </c>
      <c r="G745">
        <v>3785.31</v>
      </c>
      <c r="H745">
        <v>4390.95</v>
      </c>
      <c r="I745" t="s">
        <v>11</v>
      </c>
    </row>
    <row r="746" spans="1:9" x14ac:dyDescent="0.2">
      <c r="A746" t="s">
        <v>12</v>
      </c>
      <c r="B746" t="s">
        <v>10</v>
      </c>
      <c r="C746" s="3">
        <v>43237</v>
      </c>
      <c r="D746" s="3">
        <v>43237</v>
      </c>
      <c r="E746" s="3">
        <v>43267</v>
      </c>
      <c r="G746">
        <v>112706</v>
      </c>
      <c r="H746">
        <v>112706</v>
      </c>
      <c r="I746" t="s">
        <v>11</v>
      </c>
    </row>
    <row r="747" spans="1:9" x14ac:dyDescent="0.2">
      <c r="A747" t="s">
        <v>18</v>
      </c>
      <c r="B747" t="s">
        <v>10</v>
      </c>
      <c r="C747" s="3">
        <v>43237</v>
      </c>
      <c r="D747" s="3">
        <v>43237</v>
      </c>
      <c r="E747" s="3">
        <v>43267</v>
      </c>
      <c r="G747">
        <v>12232</v>
      </c>
      <c r="H747">
        <v>14189.1</v>
      </c>
      <c r="I747" t="s">
        <v>11</v>
      </c>
    </row>
    <row r="748" spans="1:9" x14ac:dyDescent="0.2">
      <c r="A748" t="s">
        <v>41</v>
      </c>
      <c r="B748" t="s">
        <v>10</v>
      </c>
      <c r="C748" s="3">
        <v>43237</v>
      </c>
      <c r="D748" s="3">
        <v>43237</v>
      </c>
      <c r="E748" s="3">
        <v>43245</v>
      </c>
      <c r="G748">
        <v>45523.3</v>
      </c>
      <c r="H748">
        <v>52807</v>
      </c>
      <c r="I748" t="s">
        <v>11</v>
      </c>
    </row>
    <row r="749" spans="1:9" x14ac:dyDescent="0.2">
      <c r="A749" t="s">
        <v>41</v>
      </c>
      <c r="B749" t="s">
        <v>10</v>
      </c>
      <c r="C749" s="3">
        <v>43237</v>
      </c>
      <c r="D749" s="3">
        <v>43237</v>
      </c>
      <c r="E749" s="3">
        <v>43245</v>
      </c>
      <c r="G749">
        <v>5592.26</v>
      </c>
      <c r="H749">
        <v>6487.02</v>
      </c>
      <c r="I749" t="s">
        <v>11</v>
      </c>
    </row>
    <row r="750" spans="1:9" x14ac:dyDescent="0.2">
      <c r="A750" t="s">
        <v>18</v>
      </c>
      <c r="B750" t="s">
        <v>10</v>
      </c>
      <c r="C750" s="3">
        <v>43236</v>
      </c>
      <c r="D750" s="3">
        <v>43236</v>
      </c>
      <c r="E750" s="3">
        <v>43266</v>
      </c>
      <c r="G750">
        <v>4996</v>
      </c>
      <c r="H750">
        <v>5795.36</v>
      </c>
      <c r="I750" t="s">
        <v>11</v>
      </c>
    </row>
    <row r="751" spans="1:9" x14ac:dyDescent="0.2">
      <c r="A751" t="s">
        <v>18</v>
      </c>
      <c r="B751" t="s">
        <v>10</v>
      </c>
      <c r="C751" s="3">
        <v>43236</v>
      </c>
      <c r="D751" s="3">
        <v>43236</v>
      </c>
      <c r="E751" s="3">
        <v>43266</v>
      </c>
      <c r="G751">
        <v>5000</v>
      </c>
      <c r="H751">
        <v>5800</v>
      </c>
      <c r="I751" t="s">
        <v>11</v>
      </c>
    </row>
    <row r="752" spans="1:9" x14ac:dyDescent="0.2">
      <c r="A752" t="s">
        <v>41</v>
      </c>
      <c r="B752" t="s">
        <v>10</v>
      </c>
      <c r="C752" s="3">
        <v>43235</v>
      </c>
      <c r="D752" s="3">
        <v>43235</v>
      </c>
      <c r="E752" s="3">
        <v>43243</v>
      </c>
      <c r="G752">
        <v>541.79999999999995</v>
      </c>
      <c r="H752">
        <v>628.49</v>
      </c>
      <c r="I752" t="s">
        <v>11</v>
      </c>
    </row>
    <row r="753" spans="1:9" x14ac:dyDescent="0.2">
      <c r="A753" t="s">
        <v>41</v>
      </c>
      <c r="B753" t="s">
        <v>10</v>
      </c>
      <c r="C753" s="3">
        <v>43235</v>
      </c>
      <c r="D753" s="3">
        <v>43235</v>
      </c>
      <c r="E753" s="3">
        <v>43243</v>
      </c>
      <c r="G753">
        <v>6966</v>
      </c>
      <c r="H753">
        <v>8080.56</v>
      </c>
      <c r="I753" t="s">
        <v>11</v>
      </c>
    </row>
    <row r="754" spans="1:9" x14ac:dyDescent="0.2">
      <c r="A754" t="s">
        <v>53</v>
      </c>
      <c r="B754" t="s">
        <v>10</v>
      </c>
      <c r="C754" s="3">
        <v>43234</v>
      </c>
      <c r="D754" s="3">
        <v>43234</v>
      </c>
      <c r="E754" s="3">
        <v>43264</v>
      </c>
      <c r="G754">
        <v>5130</v>
      </c>
      <c r="H754">
        <v>5950.8</v>
      </c>
      <c r="I754" t="s">
        <v>11</v>
      </c>
    </row>
    <row r="755" spans="1:9" x14ac:dyDescent="0.2">
      <c r="A755" t="s">
        <v>41</v>
      </c>
      <c r="B755" t="s">
        <v>10</v>
      </c>
      <c r="C755" s="3">
        <v>43234</v>
      </c>
      <c r="D755" s="3">
        <v>43234</v>
      </c>
      <c r="E755" s="3">
        <v>43242</v>
      </c>
      <c r="G755">
        <v>22861.8</v>
      </c>
      <c r="H755">
        <v>26519.599999999999</v>
      </c>
      <c r="I755" t="s">
        <v>11</v>
      </c>
    </row>
    <row r="756" spans="1:9" x14ac:dyDescent="0.2">
      <c r="A756" t="s">
        <v>41</v>
      </c>
      <c r="B756" t="s">
        <v>10</v>
      </c>
      <c r="C756" s="3">
        <v>43234</v>
      </c>
      <c r="D756" s="3">
        <v>43234</v>
      </c>
      <c r="E756" s="3">
        <v>43242</v>
      </c>
      <c r="G756">
        <v>27031.8</v>
      </c>
      <c r="H756">
        <v>31356.9</v>
      </c>
      <c r="I756" t="s">
        <v>11</v>
      </c>
    </row>
    <row r="757" spans="1:9" x14ac:dyDescent="0.2">
      <c r="A757" t="s">
        <v>41</v>
      </c>
      <c r="B757" t="s">
        <v>10</v>
      </c>
      <c r="C757" s="3">
        <v>43231</v>
      </c>
      <c r="D757" s="3">
        <v>43231</v>
      </c>
      <c r="E757" s="3">
        <v>43239</v>
      </c>
      <c r="G757">
        <v>61746.400000000001</v>
      </c>
      <c r="H757">
        <v>71625.8</v>
      </c>
      <c r="I757" t="s">
        <v>11</v>
      </c>
    </row>
    <row r="758" spans="1:9" x14ac:dyDescent="0.2">
      <c r="A758" t="s">
        <v>41</v>
      </c>
      <c r="B758" t="s">
        <v>10</v>
      </c>
      <c r="C758" s="3">
        <v>43231</v>
      </c>
      <c r="D758" s="3">
        <v>43231</v>
      </c>
      <c r="E758" s="3">
        <v>43239</v>
      </c>
      <c r="G758">
        <v>9873.3700000000008</v>
      </c>
      <c r="H758">
        <v>11453.1</v>
      </c>
      <c r="I758" t="s">
        <v>11</v>
      </c>
    </row>
    <row r="759" spans="1:9" x14ac:dyDescent="0.2">
      <c r="A759" t="s">
        <v>18</v>
      </c>
      <c r="B759" t="s">
        <v>10</v>
      </c>
      <c r="C759" s="3">
        <v>43229</v>
      </c>
      <c r="D759" s="3">
        <v>43229</v>
      </c>
      <c r="E759" s="3">
        <v>43259</v>
      </c>
      <c r="G759">
        <v>12898</v>
      </c>
      <c r="H759">
        <v>14961.6</v>
      </c>
      <c r="I759" t="s">
        <v>11</v>
      </c>
    </row>
    <row r="760" spans="1:9" x14ac:dyDescent="0.2">
      <c r="A760" t="s">
        <v>20</v>
      </c>
      <c r="B760" t="s">
        <v>10</v>
      </c>
      <c r="C760" s="3">
        <v>43229</v>
      </c>
      <c r="D760" s="3">
        <v>43229</v>
      </c>
      <c r="E760" s="3">
        <v>43274</v>
      </c>
      <c r="G760">
        <v>40127</v>
      </c>
      <c r="H760">
        <v>46547.3</v>
      </c>
      <c r="I760" t="s">
        <v>11</v>
      </c>
    </row>
    <row r="761" spans="1:9" x14ac:dyDescent="0.2">
      <c r="A761" t="s">
        <v>17</v>
      </c>
      <c r="B761" t="s">
        <v>10</v>
      </c>
      <c r="C761" s="3">
        <v>43224</v>
      </c>
      <c r="D761" s="3">
        <v>43224</v>
      </c>
      <c r="E761" s="3">
        <v>43269</v>
      </c>
      <c r="G761">
        <v>25202</v>
      </c>
      <c r="H761">
        <v>29234.3</v>
      </c>
      <c r="I761" t="s">
        <v>11</v>
      </c>
    </row>
    <row r="762" spans="1:9" x14ac:dyDescent="0.2">
      <c r="A762" t="s">
        <v>41</v>
      </c>
      <c r="B762" t="s">
        <v>10</v>
      </c>
      <c r="C762" s="3">
        <v>43223</v>
      </c>
      <c r="D762" s="3">
        <v>43223</v>
      </c>
      <c r="E762" s="3">
        <v>43231</v>
      </c>
      <c r="G762">
        <v>10935.7</v>
      </c>
      <c r="H762">
        <v>12685.5</v>
      </c>
      <c r="I762" t="s">
        <v>11</v>
      </c>
    </row>
    <row r="763" spans="1:9" x14ac:dyDescent="0.2">
      <c r="A763" t="s">
        <v>41</v>
      </c>
      <c r="B763" t="s">
        <v>10</v>
      </c>
      <c r="C763" s="3">
        <v>43223</v>
      </c>
      <c r="D763" s="3">
        <v>43223</v>
      </c>
      <c r="E763" s="3">
        <v>43231</v>
      </c>
      <c r="G763">
        <v>29963.200000000001</v>
      </c>
      <c r="H763">
        <v>34757.4</v>
      </c>
      <c r="I763" t="s">
        <v>11</v>
      </c>
    </row>
    <row r="764" spans="1:9" x14ac:dyDescent="0.2">
      <c r="A764" t="s">
        <v>18</v>
      </c>
      <c r="B764" t="s">
        <v>10</v>
      </c>
      <c r="C764" s="3">
        <v>43222</v>
      </c>
      <c r="D764" s="3">
        <v>43222</v>
      </c>
      <c r="E764" s="3">
        <v>43252</v>
      </c>
      <c r="G764">
        <v>29480</v>
      </c>
      <c r="H764">
        <v>34196.800000000003</v>
      </c>
      <c r="I764" t="s">
        <v>11</v>
      </c>
    </row>
    <row r="765" spans="1:9" x14ac:dyDescent="0.2">
      <c r="A765" t="s">
        <v>18</v>
      </c>
      <c r="B765" t="s">
        <v>10</v>
      </c>
      <c r="C765" s="3">
        <v>43222</v>
      </c>
      <c r="D765" s="3">
        <v>43222</v>
      </c>
      <c r="E765" s="3">
        <v>43252</v>
      </c>
      <c r="G765">
        <v>5000</v>
      </c>
      <c r="H765">
        <v>5800</v>
      </c>
      <c r="I765" t="s">
        <v>11</v>
      </c>
    </row>
    <row r="766" spans="1:9" x14ac:dyDescent="0.2">
      <c r="A766" t="s">
        <v>41</v>
      </c>
      <c r="B766" t="s">
        <v>10</v>
      </c>
      <c r="C766" s="3">
        <v>43222</v>
      </c>
      <c r="D766" s="3">
        <v>43222</v>
      </c>
      <c r="E766" s="3">
        <v>43230</v>
      </c>
      <c r="G766">
        <v>6263.03</v>
      </c>
      <c r="H766">
        <v>7265.12</v>
      </c>
      <c r="I766" t="s">
        <v>11</v>
      </c>
    </row>
    <row r="767" spans="1:9" x14ac:dyDescent="0.2">
      <c r="A767" t="s">
        <v>18</v>
      </c>
      <c r="B767" t="s">
        <v>10</v>
      </c>
      <c r="C767" s="3">
        <v>43216</v>
      </c>
      <c r="D767" s="3">
        <v>43216</v>
      </c>
      <c r="E767" s="3">
        <v>43246</v>
      </c>
      <c r="G767">
        <v>17424</v>
      </c>
      <c r="H767">
        <v>20211.8</v>
      </c>
      <c r="I767" t="s">
        <v>11</v>
      </c>
    </row>
    <row r="768" spans="1:9" x14ac:dyDescent="0.2">
      <c r="A768" t="s">
        <v>54</v>
      </c>
      <c r="B768" t="s">
        <v>10</v>
      </c>
      <c r="C768" s="3">
        <v>43215</v>
      </c>
      <c r="D768" s="3">
        <v>43215</v>
      </c>
      <c r="E768" s="3">
        <v>43215</v>
      </c>
      <c r="G768">
        <v>4715</v>
      </c>
      <c r="H768">
        <v>5469.4</v>
      </c>
      <c r="I768" t="s">
        <v>11</v>
      </c>
    </row>
    <row r="769" spans="1:9" x14ac:dyDescent="0.2">
      <c r="A769" t="s">
        <v>41</v>
      </c>
      <c r="B769" t="s">
        <v>10</v>
      </c>
      <c r="C769" s="3">
        <v>43214</v>
      </c>
      <c r="D769" s="3">
        <v>43214</v>
      </c>
      <c r="E769" s="3">
        <v>43222</v>
      </c>
      <c r="G769">
        <v>66109.100000000006</v>
      </c>
      <c r="H769">
        <v>76686.600000000006</v>
      </c>
      <c r="I769" t="s">
        <v>11</v>
      </c>
    </row>
    <row r="770" spans="1:9" x14ac:dyDescent="0.2">
      <c r="A770" t="s">
        <v>18</v>
      </c>
      <c r="B770" t="s">
        <v>10</v>
      </c>
      <c r="C770" s="3">
        <v>43213</v>
      </c>
      <c r="D770" s="3">
        <v>43213</v>
      </c>
      <c r="E770" s="3">
        <v>43243</v>
      </c>
      <c r="G770">
        <v>6408</v>
      </c>
      <c r="H770">
        <v>7433.28</v>
      </c>
      <c r="I770" t="s">
        <v>11</v>
      </c>
    </row>
    <row r="771" spans="1:9" x14ac:dyDescent="0.2">
      <c r="A771" t="s">
        <v>41</v>
      </c>
      <c r="B771" t="s">
        <v>10</v>
      </c>
      <c r="C771" s="3">
        <v>43213</v>
      </c>
      <c r="D771" s="3">
        <v>43213</v>
      </c>
      <c r="E771" s="3">
        <v>43221</v>
      </c>
      <c r="G771">
        <v>2193.6</v>
      </c>
      <c r="H771">
        <v>2544.58</v>
      </c>
      <c r="I771" t="s">
        <v>11</v>
      </c>
    </row>
    <row r="772" spans="1:9" x14ac:dyDescent="0.2">
      <c r="A772" t="s">
        <v>40</v>
      </c>
      <c r="B772" t="s">
        <v>10</v>
      </c>
      <c r="C772" s="3">
        <v>43210</v>
      </c>
      <c r="D772" s="3">
        <v>43210</v>
      </c>
      <c r="E772" s="3">
        <v>43225</v>
      </c>
      <c r="G772">
        <v>16673</v>
      </c>
      <c r="H772">
        <v>19340.599999999999</v>
      </c>
      <c r="I772" t="s">
        <v>11</v>
      </c>
    </row>
    <row r="773" spans="1:9" x14ac:dyDescent="0.2">
      <c r="A773" t="s">
        <v>30</v>
      </c>
      <c r="B773" t="s">
        <v>10</v>
      </c>
      <c r="C773" s="3">
        <v>43209</v>
      </c>
      <c r="D773" s="3">
        <v>43209</v>
      </c>
      <c r="E773" s="3">
        <v>43224</v>
      </c>
      <c r="G773">
        <v>542</v>
      </c>
      <c r="H773">
        <v>628.72</v>
      </c>
      <c r="I773" t="s">
        <v>11</v>
      </c>
    </row>
    <row r="774" spans="1:9" x14ac:dyDescent="0.2">
      <c r="A774" t="s">
        <v>25</v>
      </c>
      <c r="B774" t="s">
        <v>10</v>
      </c>
      <c r="C774" s="3">
        <v>43209</v>
      </c>
      <c r="D774" s="3">
        <v>43209</v>
      </c>
      <c r="E774" s="3">
        <v>43239</v>
      </c>
      <c r="G774">
        <v>27490</v>
      </c>
      <c r="H774">
        <v>31888.400000000001</v>
      </c>
      <c r="I774" t="s">
        <v>11</v>
      </c>
    </row>
    <row r="775" spans="1:9" x14ac:dyDescent="0.2">
      <c r="A775" t="s">
        <v>18</v>
      </c>
      <c r="B775" t="s">
        <v>10</v>
      </c>
      <c r="C775" s="3">
        <v>43208</v>
      </c>
      <c r="D775" s="3">
        <v>43208</v>
      </c>
      <c r="E775" s="3">
        <v>43238</v>
      </c>
      <c r="G775">
        <v>17424</v>
      </c>
      <c r="H775">
        <v>20211.8</v>
      </c>
      <c r="I775" t="s">
        <v>11</v>
      </c>
    </row>
    <row r="776" spans="1:9" x14ac:dyDescent="0.2">
      <c r="A776" t="s">
        <v>18</v>
      </c>
      <c r="B776" t="s">
        <v>10</v>
      </c>
      <c r="C776" s="3">
        <v>43206</v>
      </c>
      <c r="D776" s="3">
        <v>43206</v>
      </c>
      <c r="E776" s="3">
        <v>43236</v>
      </c>
      <c r="G776">
        <v>19224</v>
      </c>
      <c r="H776">
        <v>22299.8</v>
      </c>
      <c r="I776" t="s">
        <v>11</v>
      </c>
    </row>
    <row r="777" spans="1:9" x14ac:dyDescent="0.2">
      <c r="A777" t="s">
        <v>17</v>
      </c>
      <c r="B777" t="s">
        <v>10</v>
      </c>
      <c r="C777" s="3">
        <v>43202</v>
      </c>
      <c r="D777" s="3">
        <v>43202</v>
      </c>
      <c r="E777" s="3">
        <v>43247</v>
      </c>
      <c r="G777">
        <v>25202</v>
      </c>
      <c r="H777">
        <v>29234.3</v>
      </c>
      <c r="I777" t="s">
        <v>11</v>
      </c>
    </row>
    <row r="778" spans="1:9" x14ac:dyDescent="0.2">
      <c r="A778" t="s">
        <v>17</v>
      </c>
      <c r="B778" t="s">
        <v>10</v>
      </c>
      <c r="C778" s="3">
        <v>43201</v>
      </c>
      <c r="D778" s="3">
        <v>43201</v>
      </c>
      <c r="E778" s="3">
        <v>43246</v>
      </c>
      <c r="G778">
        <v>25202</v>
      </c>
      <c r="H778">
        <v>29234.3</v>
      </c>
      <c r="I778" t="s">
        <v>11</v>
      </c>
    </row>
    <row r="779" spans="1:9" x14ac:dyDescent="0.2">
      <c r="A779" t="s">
        <v>40</v>
      </c>
      <c r="B779" t="s">
        <v>10</v>
      </c>
      <c r="C779" s="3">
        <v>43201</v>
      </c>
      <c r="D779" s="3">
        <v>43201</v>
      </c>
      <c r="E779" s="3">
        <v>43216</v>
      </c>
      <c r="G779">
        <v>16673</v>
      </c>
      <c r="H779">
        <v>19340.599999999999</v>
      </c>
      <c r="I779" t="s">
        <v>11</v>
      </c>
    </row>
    <row r="780" spans="1:9" x14ac:dyDescent="0.2">
      <c r="A780" t="s">
        <v>18</v>
      </c>
      <c r="B780" t="s">
        <v>10</v>
      </c>
      <c r="C780" s="3">
        <v>43201</v>
      </c>
      <c r="D780" s="3">
        <v>43201</v>
      </c>
      <c r="E780" s="3">
        <v>43231</v>
      </c>
      <c r="G780">
        <v>16532</v>
      </c>
      <c r="H780">
        <v>19177.099999999999</v>
      </c>
      <c r="I780" t="s">
        <v>11</v>
      </c>
    </row>
    <row r="781" spans="1:9" x14ac:dyDescent="0.2">
      <c r="A781" t="s">
        <v>12</v>
      </c>
      <c r="B781" t="s">
        <v>10</v>
      </c>
      <c r="C781" s="3">
        <v>43200</v>
      </c>
      <c r="D781" s="3">
        <v>43200</v>
      </c>
      <c r="E781" s="3">
        <v>43230</v>
      </c>
      <c r="G781">
        <v>74855.600000000006</v>
      </c>
      <c r="H781">
        <v>74855.600000000006</v>
      </c>
      <c r="I781" t="s">
        <v>11</v>
      </c>
    </row>
    <row r="782" spans="1:9" x14ac:dyDescent="0.2">
      <c r="A782" t="s">
        <v>39</v>
      </c>
      <c r="B782" t="s">
        <v>10</v>
      </c>
      <c r="C782" s="3">
        <v>43199</v>
      </c>
      <c r="D782" s="3">
        <v>43199</v>
      </c>
      <c r="E782" s="3">
        <v>43207</v>
      </c>
      <c r="G782">
        <v>8886</v>
      </c>
      <c r="H782">
        <v>10307.700000000001</v>
      </c>
      <c r="I782" t="s">
        <v>11</v>
      </c>
    </row>
    <row r="783" spans="1:9" x14ac:dyDescent="0.2">
      <c r="A783" t="s">
        <v>17</v>
      </c>
      <c r="B783" t="s">
        <v>10</v>
      </c>
      <c r="C783" s="3">
        <v>43196</v>
      </c>
      <c r="D783" s="3">
        <v>43196</v>
      </c>
      <c r="E783" s="3">
        <v>43241</v>
      </c>
      <c r="G783">
        <v>25202</v>
      </c>
      <c r="H783">
        <v>29234.3</v>
      </c>
      <c r="I783" t="s">
        <v>11</v>
      </c>
    </row>
    <row r="784" spans="1:9" x14ac:dyDescent="0.2">
      <c r="A784" t="s">
        <v>41</v>
      </c>
      <c r="B784" t="s">
        <v>10</v>
      </c>
      <c r="C784" s="3">
        <v>43196</v>
      </c>
      <c r="D784" s="3">
        <v>43196</v>
      </c>
      <c r="E784" s="3">
        <v>43204</v>
      </c>
      <c r="G784">
        <v>104052</v>
      </c>
      <c r="H784">
        <v>120700</v>
      </c>
      <c r="I784" t="s">
        <v>11</v>
      </c>
    </row>
    <row r="785" spans="1:9" x14ac:dyDescent="0.2">
      <c r="A785" t="s">
        <v>41</v>
      </c>
      <c r="B785" t="s">
        <v>14</v>
      </c>
      <c r="C785" s="3">
        <v>43196</v>
      </c>
      <c r="D785" s="3">
        <v>43196</v>
      </c>
      <c r="E785" s="3">
        <v>43204</v>
      </c>
      <c r="F785" s="3">
        <v>43196</v>
      </c>
      <c r="G785">
        <v>104731</v>
      </c>
      <c r="H785">
        <v>121488</v>
      </c>
      <c r="I785">
        <v>3</v>
      </c>
    </row>
    <row r="786" spans="1:9" x14ac:dyDescent="0.2">
      <c r="A786" t="s">
        <v>19</v>
      </c>
      <c r="B786" t="s">
        <v>10</v>
      </c>
      <c r="C786" s="3">
        <v>43195</v>
      </c>
      <c r="D786" s="3">
        <v>43195</v>
      </c>
      <c r="E786" s="3">
        <v>43210</v>
      </c>
      <c r="G786">
        <v>22577</v>
      </c>
      <c r="H786">
        <v>26189.3</v>
      </c>
      <c r="I786" t="s">
        <v>11</v>
      </c>
    </row>
    <row r="787" spans="1:9" x14ac:dyDescent="0.2">
      <c r="A787" t="s">
        <v>18</v>
      </c>
      <c r="B787" t="s">
        <v>10</v>
      </c>
      <c r="C787" s="3">
        <v>43195</v>
      </c>
      <c r="D787" s="3">
        <v>43195</v>
      </c>
      <c r="E787" s="3">
        <v>43225</v>
      </c>
      <c r="G787">
        <v>13844</v>
      </c>
      <c r="H787">
        <v>16059</v>
      </c>
      <c r="I787" t="s">
        <v>11</v>
      </c>
    </row>
    <row r="788" spans="1:9" x14ac:dyDescent="0.2">
      <c r="A788" t="s">
        <v>18</v>
      </c>
      <c r="B788" t="s">
        <v>14</v>
      </c>
      <c r="C788" s="3">
        <v>43194</v>
      </c>
      <c r="D788" s="3">
        <v>43194</v>
      </c>
      <c r="E788" s="3">
        <v>43224</v>
      </c>
      <c r="F788" s="3">
        <v>43195</v>
      </c>
      <c r="G788">
        <v>22577</v>
      </c>
      <c r="H788">
        <v>26189.3</v>
      </c>
      <c r="I788">
        <v>3</v>
      </c>
    </row>
    <row r="789" spans="1:9" x14ac:dyDescent="0.2">
      <c r="A789" t="s">
        <v>18</v>
      </c>
      <c r="B789" t="s">
        <v>10</v>
      </c>
      <c r="C789" s="3">
        <v>43194</v>
      </c>
      <c r="D789" s="3">
        <v>43194</v>
      </c>
      <c r="E789" s="3">
        <v>43224</v>
      </c>
      <c r="G789">
        <v>4292</v>
      </c>
      <c r="H789">
        <v>4978.72</v>
      </c>
      <c r="I789" t="s">
        <v>11</v>
      </c>
    </row>
    <row r="790" spans="1:9" x14ac:dyDescent="0.2">
      <c r="A790" t="s">
        <v>41</v>
      </c>
      <c r="B790" t="s">
        <v>10</v>
      </c>
      <c r="C790" s="3">
        <v>43194</v>
      </c>
      <c r="D790" s="3">
        <v>43194</v>
      </c>
      <c r="E790" s="3">
        <v>43202</v>
      </c>
      <c r="G790">
        <v>9702.11</v>
      </c>
      <c r="H790">
        <v>11254.4</v>
      </c>
      <c r="I790" t="s">
        <v>11</v>
      </c>
    </row>
    <row r="791" spans="1:9" x14ac:dyDescent="0.2">
      <c r="A791" t="s">
        <v>18</v>
      </c>
      <c r="B791" t="s">
        <v>10</v>
      </c>
      <c r="C791" s="3">
        <v>43194</v>
      </c>
      <c r="D791" s="3">
        <v>43194</v>
      </c>
      <c r="E791" s="3">
        <v>43224</v>
      </c>
      <c r="G791">
        <v>46904</v>
      </c>
      <c r="H791">
        <v>54408.6</v>
      </c>
      <c r="I791" t="s">
        <v>11</v>
      </c>
    </row>
    <row r="792" spans="1:9" x14ac:dyDescent="0.2">
      <c r="A792" t="s">
        <v>18</v>
      </c>
      <c r="B792" t="s">
        <v>14</v>
      </c>
      <c r="C792" s="3">
        <v>43194</v>
      </c>
      <c r="D792" s="3">
        <v>43194</v>
      </c>
      <c r="E792" s="3">
        <v>43224</v>
      </c>
      <c r="F792" s="3">
        <v>43194</v>
      </c>
      <c r="G792">
        <v>2468</v>
      </c>
      <c r="H792">
        <v>2862.88</v>
      </c>
      <c r="I792">
        <v>3</v>
      </c>
    </row>
    <row r="793" spans="1:9" x14ac:dyDescent="0.2">
      <c r="A793" t="s">
        <v>40</v>
      </c>
      <c r="B793" t="s">
        <v>10</v>
      </c>
      <c r="C793" s="3">
        <v>43192</v>
      </c>
      <c r="D793" s="3">
        <v>43192</v>
      </c>
      <c r="E793" s="3">
        <v>43207</v>
      </c>
      <c r="G793">
        <v>17376</v>
      </c>
      <c r="H793">
        <v>20156.099999999999</v>
      </c>
      <c r="I793" t="s">
        <v>11</v>
      </c>
    </row>
    <row r="794" spans="1:9" x14ac:dyDescent="0.2">
      <c r="A794" t="s">
        <v>40</v>
      </c>
      <c r="B794" t="s">
        <v>14</v>
      </c>
      <c r="C794" s="3">
        <v>43192</v>
      </c>
      <c r="D794" s="3">
        <v>43192</v>
      </c>
      <c r="E794" s="3">
        <v>43207</v>
      </c>
      <c r="F794" s="3">
        <v>43192</v>
      </c>
      <c r="G794">
        <v>18079</v>
      </c>
      <c r="H794">
        <v>20971.599999999999</v>
      </c>
      <c r="I794">
        <v>3</v>
      </c>
    </row>
    <row r="795" spans="1:9" x14ac:dyDescent="0.2">
      <c r="A795" t="s">
        <v>17</v>
      </c>
      <c r="B795" t="s">
        <v>10</v>
      </c>
      <c r="C795" s="3">
        <v>43187</v>
      </c>
      <c r="D795" s="3">
        <v>43187</v>
      </c>
      <c r="E795" s="3">
        <v>43232</v>
      </c>
      <c r="G795">
        <v>25202</v>
      </c>
      <c r="H795">
        <v>29234.3</v>
      </c>
      <c r="I795" t="s">
        <v>11</v>
      </c>
    </row>
    <row r="796" spans="1:9" x14ac:dyDescent="0.2">
      <c r="A796" t="s">
        <v>41</v>
      </c>
      <c r="B796" t="s">
        <v>10</v>
      </c>
      <c r="C796" s="3">
        <v>43187</v>
      </c>
      <c r="D796" s="3">
        <v>43187</v>
      </c>
      <c r="E796" s="3">
        <v>43195</v>
      </c>
      <c r="G796">
        <v>3119.22</v>
      </c>
      <c r="H796">
        <v>3618.29</v>
      </c>
      <c r="I796" t="s">
        <v>11</v>
      </c>
    </row>
    <row r="797" spans="1:9" x14ac:dyDescent="0.2">
      <c r="A797" t="s">
        <v>17</v>
      </c>
      <c r="B797" t="s">
        <v>10</v>
      </c>
      <c r="C797" s="3">
        <v>43186</v>
      </c>
      <c r="D797" s="3">
        <v>43186</v>
      </c>
      <c r="E797" s="3">
        <v>43231</v>
      </c>
      <c r="G797">
        <v>25202</v>
      </c>
      <c r="H797">
        <v>29234.3</v>
      </c>
      <c r="I797" t="s">
        <v>11</v>
      </c>
    </row>
    <row r="798" spans="1:9" x14ac:dyDescent="0.2">
      <c r="A798" t="s">
        <v>18</v>
      </c>
      <c r="B798" t="s">
        <v>10</v>
      </c>
      <c r="C798" s="3">
        <v>43186</v>
      </c>
      <c r="D798" s="3">
        <v>43186</v>
      </c>
      <c r="E798" s="3">
        <v>43216</v>
      </c>
      <c r="G798">
        <v>13672</v>
      </c>
      <c r="H798">
        <v>15859.5</v>
      </c>
      <c r="I798" t="s">
        <v>11</v>
      </c>
    </row>
    <row r="799" spans="1:9" x14ac:dyDescent="0.2">
      <c r="A799" t="s">
        <v>41</v>
      </c>
      <c r="B799" t="s">
        <v>10</v>
      </c>
      <c r="C799" s="3">
        <v>43186</v>
      </c>
      <c r="D799" s="3">
        <v>43186</v>
      </c>
      <c r="E799" s="3">
        <v>43194</v>
      </c>
      <c r="G799">
        <v>23716.1</v>
      </c>
      <c r="H799">
        <v>27510.7</v>
      </c>
      <c r="I799" t="s">
        <v>11</v>
      </c>
    </row>
    <row r="800" spans="1:9" x14ac:dyDescent="0.2">
      <c r="A800" t="s">
        <v>19</v>
      </c>
      <c r="B800" t="s">
        <v>10</v>
      </c>
      <c r="C800" s="3">
        <v>43185</v>
      </c>
      <c r="D800" s="3">
        <v>43185</v>
      </c>
      <c r="E800" s="3">
        <v>43200</v>
      </c>
      <c r="G800">
        <v>220</v>
      </c>
      <c r="H800">
        <v>255.2</v>
      </c>
      <c r="I800" t="s">
        <v>11</v>
      </c>
    </row>
    <row r="801" spans="1:9" x14ac:dyDescent="0.2">
      <c r="A801" t="s">
        <v>19</v>
      </c>
      <c r="B801" t="s">
        <v>14</v>
      </c>
      <c r="C801" s="3">
        <v>43185</v>
      </c>
      <c r="D801" s="3">
        <v>43185</v>
      </c>
      <c r="E801" s="3">
        <v>43200</v>
      </c>
      <c r="F801" s="3">
        <v>43185</v>
      </c>
      <c r="G801">
        <v>220</v>
      </c>
      <c r="H801">
        <v>255.2</v>
      </c>
      <c r="I801">
        <v>3</v>
      </c>
    </row>
    <row r="802" spans="1:9" x14ac:dyDescent="0.2">
      <c r="A802" t="s">
        <v>54</v>
      </c>
      <c r="B802" t="s">
        <v>10</v>
      </c>
      <c r="C802" s="3">
        <v>43185</v>
      </c>
      <c r="D802" s="3">
        <v>43185</v>
      </c>
      <c r="E802" s="3">
        <v>43185</v>
      </c>
      <c r="G802">
        <v>5256.84</v>
      </c>
      <c r="H802">
        <v>6097.93</v>
      </c>
      <c r="I802" t="s">
        <v>11</v>
      </c>
    </row>
    <row r="803" spans="1:9" x14ac:dyDescent="0.2">
      <c r="A803" t="s">
        <v>25</v>
      </c>
      <c r="B803" t="s">
        <v>10</v>
      </c>
      <c r="C803" s="3">
        <v>43185</v>
      </c>
      <c r="D803" s="3">
        <v>43185</v>
      </c>
      <c r="E803" s="3">
        <v>43215</v>
      </c>
      <c r="G803">
        <v>5620</v>
      </c>
      <c r="H803">
        <v>6519.2</v>
      </c>
      <c r="I803" t="s">
        <v>11</v>
      </c>
    </row>
    <row r="804" spans="1:9" x14ac:dyDescent="0.2">
      <c r="A804" t="s">
        <v>18</v>
      </c>
      <c r="B804" t="s">
        <v>10</v>
      </c>
      <c r="C804" s="3">
        <v>43182</v>
      </c>
      <c r="D804" s="3">
        <v>43182</v>
      </c>
      <c r="E804" s="3">
        <v>43212</v>
      </c>
      <c r="G804">
        <v>7296</v>
      </c>
      <c r="H804">
        <v>8463.36</v>
      </c>
      <c r="I804" t="s">
        <v>11</v>
      </c>
    </row>
    <row r="805" spans="1:9" x14ac:dyDescent="0.2">
      <c r="A805" t="s">
        <v>52</v>
      </c>
      <c r="B805" t="s">
        <v>10</v>
      </c>
      <c r="C805" s="3">
        <v>43181</v>
      </c>
      <c r="D805" s="3">
        <v>43181</v>
      </c>
      <c r="E805" s="3">
        <v>43188</v>
      </c>
      <c r="G805">
        <v>798</v>
      </c>
      <c r="H805">
        <v>925.68</v>
      </c>
      <c r="I805" t="s">
        <v>38</v>
      </c>
    </row>
    <row r="806" spans="1:9" x14ac:dyDescent="0.2">
      <c r="A806" t="s">
        <v>52</v>
      </c>
      <c r="B806" t="s">
        <v>14</v>
      </c>
      <c r="C806" s="3">
        <v>43181</v>
      </c>
      <c r="D806" s="3">
        <v>43181</v>
      </c>
      <c r="E806" s="3">
        <v>43188</v>
      </c>
      <c r="F806" s="3">
        <v>43181</v>
      </c>
      <c r="G806">
        <v>798</v>
      </c>
      <c r="H806">
        <v>925.68</v>
      </c>
      <c r="I806">
        <v>1</v>
      </c>
    </row>
    <row r="807" spans="1:9" x14ac:dyDescent="0.2">
      <c r="A807" t="s">
        <v>41</v>
      </c>
      <c r="B807" t="s">
        <v>10</v>
      </c>
      <c r="C807" s="3">
        <v>43181</v>
      </c>
      <c r="D807" s="3">
        <v>43181</v>
      </c>
      <c r="E807" s="3">
        <v>43189</v>
      </c>
      <c r="G807">
        <v>35435.5</v>
      </c>
      <c r="H807">
        <v>41105.199999999997</v>
      </c>
      <c r="I807" t="s">
        <v>11</v>
      </c>
    </row>
    <row r="808" spans="1:9" x14ac:dyDescent="0.2">
      <c r="A808" t="s">
        <v>22</v>
      </c>
      <c r="B808" t="s">
        <v>10</v>
      </c>
      <c r="C808" s="3">
        <v>43180</v>
      </c>
      <c r="D808" s="3">
        <v>43180</v>
      </c>
      <c r="E808" s="3">
        <v>43210</v>
      </c>
      <c r="G808">
        <v>262941</v>
      </c>
      <c r="H808">
        <v>305011</v>
      </c>
      <c r="I808" t="s">
        <v>11</v>
      </c>
    </row>
    <row r="809" spans="1:9" x14ac:dyDescent="0.2">
      <c r="A809" t="s">
        <v>22</v>
      </c>
      <c r="B809" t="s">
        <v>10</v>
      </c>
      <c r="C809" s="3">
        <v>43180</v>
      </c>
      <c r="D809" s="3">
        <v>43180</v>
      </c>
      <c r="E809" s="3">
        <v>43210</v>
      </c>
      <c r="G809">
        <v>7440</v>
      </c>
      <c r="H809">
        <v>8630.4</v>
      </c>
      <c r="I809" t="s">
        <v>11</v>
      </c>
    </row>
    <row r="810" spans="1:9" x14ac:dyDescent="0.2">
      <c r="A810" t="s">
        <v>40</v>
      </c>
      <c r="B810" t="s">
        <v>10</v>
      </c>
      <c r="C810" s="3">
        <v>43180</v>
      </c>
      <c r="D810" s="3">
        <v>43180</v>
      </c>
      <c r="E810" s="3">
        <v>43195</v>
      </c>
      <c r="G810">
        <v>18079</v>
      </c>
      <c r="H810">
        <v>20971.599999999999</v>
      </c>
      <c r="I810" t="s">
        <v>11</v>
      </c>
    </row>
    <row r="811" spans="1:9" x14ac:dyDescent="0.2">
      <c r="A811" t="s">
        <v>20</v>
      </c>
      <c r="B811" t="s">
        <v>10</v>
      </c>
      <c r="C811" s="3">
        <v>43180</v>
      </c>
      <c r="D811" s="3">
        <v>43180</v>
      </c>
      <c r="E811" s="3">
        <v>43225</v>
      </c>
      <c r="G811">
        <v>20032</v>
      </c>
      <c r="H811">
        <v>23237.1</v>
      </c>
      <c r="I811" t="s">
        <v>11</v>
      </c>
    </row>
    <row r="812" spans="1:9" x14ac:dyDescent="0.2">
      <c r="A812" t="s">
        <v>41</v>
      </c>
      <c r="B812" t="s">
        <v>10</v>
      </c>
      <c r="C812" s="3">
        <v>43180</v>
      </c>
      <c r="D812" s="3">
        <v>43180</v>
      </c>
      <c r="E812" s="3">
        <v>43188</v>
      </c>
      <c r="G812">
        <v>2471.04</v>
      </c>
      <c r="H812">
        <v>2866.41</v>
      </c>
      <c r="I812" t="s">
        <v>11</v>
      </c>
    </row>
    <row r="813" spans="1:9" x14ac:dyDescent="0.2">
      <c r="A813" t="s">
        <v>41</v>
      </c>
      <c r="B813" t="s">
        <v>10</v>
      </c>
      <c r="C813" s="3">
        <v>43179</v>
      </c>
      <c r="D813" s="3">
        <v>43179</v>
      </c>
      <c r="E813" s="3">
        <v>43187</v>
      </c>
      <c r="G813">
        <v>1234.2</v>
      </c>
      <c r="H813">
        <v>1431.67</v>
      </c>
      <c r="I813" t="s">
        <v>11</v>
      </c>
    </row>
    <row r="814" spans="1:9" x14ac:dyDescent="0.2">
      <c r="A814" t="s">
        <v>19</v>
      </c>
      <c r="B814" t="s">
        <v>10</v>
      </c>
      <c r="C814" s="3">
        <v>43179</v>
      </c>
      <c r="D814" s="3">
        <v>43179</v>
      </c>
      <c r="E814" s="3">
        <v>43194</v>
      </c>
      <c r="G814">
        <v>5495</v>
      </c>
      <c r="H814">
        <v>6374.2</v>
      </c>
      <c r="I814" t="s">
        <v>11</v>
      </c>
    </row>
    <row r="815" spans="1:9" x14ac:dyDescent="0.2">
      <c r="A815" t="s">
        <v>41</v>
      </c>
      <c r="B815" t="s">
        <v>10</v>
      </c>
      <c r="C815" s="3">
        <v>43175</v>
      </c>
      <c r="D815" s="3">
        <v>43175</v>
      </c>
      <c r="E815" s="3">
        <v>43183</v>
      </c>
      <c r="G815">
        <v>557.70000000000005</v>
      </c>
      <c r="H815">
        <v>646.92999999999995</v>
      </c>
      <c r="I815" t="s">
        <v>11</v>
      </c>
    </row>
    <row r="816" spans="1:9" x14ac:dyDescent="0.2">
      <c r="A816" t="s">
        <v>18</v>
      </c>
      <c r="B816" t="s">
        <v>10</v>
      </c>
      <c r="C816" s="3">
        <v>43173</v>
      </c>
      <c r="D816" s="3">
        <v>43173</v>
      </c>
      <c r="E816" s="3">
        <v>43203</v>
      </c>
      <c r="G816">
        <v>3461</v>
      </c>
      <c r="H816">
        <v>4014.76</v>
      </c>
      <c r="I816" t="s">
        <v>11</v>
      </c>
    </row>
    <row r="817" spans="1:9" x14ac:dyDescent="0.2">
      <c r="A817" t="s">
        <v>17</v>
      </c>
      <c r="B817" t="s">
        <v>10</v>
      </c>
      <c r="C817" s="3">
        <v>43172</v>
      </c>
      <c r="D817" s="3">
        <v>43172</v>
      </c>
      <c r="E817" s="3">
        <v>43217</v>
      </c>
      <c r="G817">
        <v>25202</v>
      </c>
      <c r="H817">
        <v>29234.3</v>
      </c>
      <c r="I817" t="s">
        <v>11</v>
      </c>
    </row>
    <row r="818" spans="1:9" x14ac:dyDescent="0.2">
      <c r="A818" t="s">
        <v>18</v>
      </c>
      <c r="B818" t="s">
        <v>10</v>
      </c>
      <c r="C818" s="3">
        <v>43171</v>
      </c>
      <c r="D818" s="3">
        <v>43171</v>
      </c>
      <c r="E818" s="3">
        <v>43201</v>
      </c>
      <c r="G818">
        <v>10887</v>
      </c>
      <c r="H818">
        <v>12628.9</v>
      </c>
      <c r="I818" t="s">
        <v>11</v>
      </c>
    </row>
    <row r="819" spans="1:9" x14ac:dyDescent="0.2">
      <c r="A819" t="s">
        <v>18</v>
      </c>
      <c r="B819" t="s">
        <v>14</v>
      </c>
      <c r="C819" s="3">
        <v>43171</v>
      </c>
      <c r="D819" s="3">
        <v>43171</v>
      </c>
      <c r="E819" s="3">
        <v>43201</v>
      </c>
      <c r="F819" s="3">
        <v>43171</v>
      </c>
      <c r="G819">
        <v>6481</v>
      </c>
      <c r="H819">
        <v>7517.96</v>
      </c>
      <c r="I819">
        <v>3</v>
      </c>
    </row>
    <row r="820" spans="1:9" x14ac:dyDescent="0.2">
      <c r="A820" t="s">
        <v>17</v>
      </c>
      <c r="B820" t="s">
        <v>10</v>
      </c>
      <c r="C820" s="3">
        <v>43171</v>
      </c>
      <c r="D820" s="3">
        <v>43171</v>
      </c>
      <c r="E820" s="3">
        <v>43216</v>
      </c>
      <c r="G820">
        <v>25202</v>
      </c>
      <c r="H820">
        <v>29234.3</v>
      </c>
      <c r="I820" t="s">
        <v>11</v>
      </c>
    </row>
    <row r="821" spans="1:9" x14ac:dyDescent="0.2">
      <c r="A821" t="s">
        <v>18</v>
      </c>
      <c r="B821" t="s">
        <v>10</v>
      </c>
      <c r="C821" s="3">
        <v>43171</v>
      </c>
      <c r="D821" s="3">
        <v>43171</v>
      </c>
      <c r="E821" s="3">
        <v>43201</v>
      </c>
      <c r="G821">
        <v>24004</v>
      </c>
      <c r="H821">
        <v>27844.6</v>
      </c>
      <c r="I821" t="s">
        <v>11</v>
      </c>
    </row>
    <row r="822" spans="1:9" x14ac:dyDescent="0.2">
      <c r="A822" t="s">
        <v>18</v>
      </c>
      <c r="B822" t="s">
        <v>14</v>
      </c>
      <c r="C822" s="3">
        <v>43171</v>
      </c>
      <c r="D822" s="3">
        <v>43171</v>
      </c>
      <c r="E822" s="3">
        <v>43201</v>
      </c>
      <c r="F822" s="3">
        <v>43171</v>
      </c>
      <c r="G822">
        <v>24004</v>
      </c>
      <c r="H822">
        <v>27844.6</v>
      </c>
      <c r="I822">
        <v>3</v>
      </c>
    </row>
    <row r="823" spans="1:9" x14ac:dyDescent="0.2">
      <c r="A823" t="s">
        <v>9</v>
      </c>
      <c r="B823" t="s">
        <v>10</v>
      </c>
      <c r="C823" s="3">
        <v>43168</v>
      </c>
      <c r="D823" s="3">
        <v>43168</v>
      </c>
      <c r="E823" s="3">
        <v>43175</v>
      </c>
      <c r="G823">
        <v>1975</v>
      </c>
      <c r="H823">
        <v>2291</v>
      </c>
      <c r="I823" t="s">
        <v>11</v>
      </c>
    </row>
    <row r="824" spans="1:9" x14ac:dyDescent="0.2">
      <c r="A824" t="s">
        <v>19</v>
      </c>
      <c r="B824" t="s">
        <v>10</v>
      </c>
      <c r="C824" s="3">
        <v>43167</v>
      </c>
      <c r="D824" s="3">
        <v>43167</v>
      </c>
      <c r="E824" s="3">
        <v>43182</v>
      </c>
      <c r="G824">
        <v>7264</v>
      </c>
      <c r="H824">
        <v>8426.24</v>
      </c>
      <c r="I824" t="s">
        <v>11</v>
      </c>
    </row>
    <row r="825" spans="1:9" x14ac:dyDescent="0.2">
      <c r="A825" t="s">
        <v>18</v>
      </c>
      <c r="B825" t="s">
        <v>10</v>
      </c>
      <c r="C825" s="3">
        <v>43167</v>
      </c>
      <c r="D825" s="3">
        <v>43167</v>
      </c>
      <c r="E825" s="3">
        <v>43197</v>
      </c>
      <c r="G825">
        <v>24004</v>
      </c>
      <c r="H825">
        <v>27844.6</v>
      </c>
      <c r="I825" t="s">
        <v>11</v>
      </c>
    </row>
    <row r="826" spans="1:9" x14ac:dyDescent="0.2">
      <c r="A826" t="s">
        <v>18</v>
      </c>
      <c r="B826" t="s">
        <v>14</v>
      </c>
      <c r="C826" s="3">
        <v>43166</v>
      </c>
      <c r="D826" s="3">
        <v>43166</v>
      </c>
      <c r="E826" s="3">
        <v>43196</v>
      </c>
      <c r="F826" s="3">
        <v>43167</v>
      </c>
      <c r="G826">
        <v>30712</v>
      </c>
      <c r="H826">
        <v>35625.9</v>
      </c>
      <c r="I826">
        <v>3</v>
      </c>
    </row>
    <row r="827" spans="1:9" x14ac:dyDescent="0.2">
      <c r="A827" t="s">
        <v>20</v>
      </c>
      <c r="B827" t="s">
        <v>10</v>
      </c>
      <c r="C827" s="3">
        <v>43166</v>
      </c>
      <c r="D827" s="3">
        <v>43166</v>
      </c>
      <c r="E827" s="3">
        <v>43211</v>
      </c>
      <c r="G827">
        <v>39094</v>
      </c>
      <c r="H827">
        <v>45349</v>
      </c>
      <c r="I827" t="s">
        <v>11</v>
      </c>
    </row>
    <row r="828" spans="1:9" x14ac:dyDescent="0.2">
      <c r="A828" t="s">
        <v>41</v>
      </c>
      <c r="B828" t="s">
        <v>10</v>
      </c>
      <c r="C828" s="3">
        <v>43164</v>
      </c>
      <c r="D828" s="3">
        <v>43164</v>
      </c>
      <c r="E828" s="3">
        <v>43172</v>
      </c>
      <c r="G828">
        <v>3268.25</v>
      </c>
      <c r="H828">
        <v>3791.17</v>
      </c>
      <c r="I828" t="s">
        <v>11</v>
      </c>
    </row>
    <row r="829" spans="1:9" x14ac:dyDescent="0.2">
      <c r="A829" t="s">
        <v>41</v>
      </c>
      <c r="B829" t="s">
        <v>10</v>
      </c>
      <c r="C829" s="3">
        <v>43164</v>
      </c>
      <c r="D829" s="3">
        <v>43164</v>
      </c>
      <c r="E829" s="3">
        <v>43172</v>
      </c>
      <c r="G829">
        <v>5060.8900000000003</v>
      </c>
      <c r="H829">
        <v>5870.64</v>
      </c>
      <c r="I829" t="s">
        <v>11</v>
      </c>
    </row>
    <row r="830" spans="1:9" x14ac:dyDescent="0.2">
      <c r="A830" t="s">
        <v>17</v>
      </c>
      <c r="B830" t="s">
        <v>10</v>
      </c>
      <c r="C830" s="3">
        <v>43161</v>
      </c>
      <c r="D830" s="3">
        <v>43161</v>
      </c>
      <c r="E830" s="3">
        <v>43206</v>
      </c>
      <c r="G830">
        <v>25202</v>
      </c>
      <c r="H830">
        <v>29234.3</v>
      </c>
      <c r="I830" t="s">
        <v>11</v>
      </c>
    </row>
    <row r="831" spans="1:9" x14ac:dyDescent="0.2">
      <c r="A831" t="s">
        <v>19</v>
      </c>
      <c r="B831" t="s">
        <v>10</v>
      </c>
      <c r="C831" s="3">
        <v>43161</v>
      </c>
      <c r="D831" s="3">
        <v>43195</v>
      </c>
      <c r="E831" s="3">
        <v>43176</v>
      </c>
      <c r="G831">
        <v>29480</v>
      </c>
      <c r="H831">
        <v>34196.800000000003</v>
      </c>
      <c r="I831" t="s">
        <v>11</v>
      </c>
    </row>
    <row r="832" spans="1:9" x14ac:dyDescent="0.2">
      <c r="A832" t="s">
        <v>41</v>
      </c>
      <c r="B832" t="s">
        <v>10</v>
      </c>
      <c r="C832" s="3">
        <v>43161</v>
      </c>
      <c r="D832" s="3">
        <v>43161</v>
      </c>
      <c r="E832" s="3">
        <v>43169</v>
      </c>
      <c r="G832">
        <v>9789.15</v>
      </c>
      <c r="H832">
        <v>11355.4</v>
      </c>
      <c r="I832" t="s">
        <v>11</v>
      </c>
    </row>
    <row r="833" spans="1:9" x14ac:dyDescent="0.2">
      <c r="A833" t="s">
        <v>41</v>
      </c>
      <c r="B833" t="s">
        <v>10</v>
      </c>
      <c r="C833" s="3">
        <v>43161</v>
      </c>
      <c r="D833" s="3">
        <v>43161</v>
      </c>
      <c r="E833" s="3">
        <v>43169</v>
      </c>
      <c r="G833">
        <v>83158.899999999994</v>
      </c>
      <c r="H833">
        <v>96464.3</v>
      </c>
      <c r="I833" t="s">
        <v>11</v>
      </c>
    </row>
    <row r="834" spans="1:9" x14ac:dyDescent="0.2">
      <c r="A834" t="s">
        <v>17</v>
      </c>
      <c r="B834" t="s">
        <v>10</v>
      </c>
      <c r="C834" s="3">
        <v>43160</v>
      </c>
      <c r="D834" s="3">
        <v>43160</v>
      </c>
      <c r="E834" s="3">
        <v>43205</v>
      </c>
      <c r="G834">
        <v>25202</v>
      </c>
      <c r="H834">
        <v>29234.3</v>
      </c>
      <c r="I834" t="s">
        <v>11</v>
      </c>
    </row>
    <row r="835" spans="1:9" x14ac:dyDescent="0.2">
      <c r="A835" t="s">
        <v>13</v>
      </c>
      <c r="B835" t="s">
        <v>10</v>
      </c>
      <c r="C835" s="3">
        <v>43160</v>
      </c>
      <c r="D835" s="3">
        <v>43160</v>
      </c>
      <c r="E835" s="3">
        <v>43190</v>
      </c>
      <c r="G835">
        <v>13584</v>
      </c>
      <c r="H835">
        <v>15757.4</v>
      </c>
      <c r="I835" t="s">
        <v>11</v>
      </c>
    </row>
    <row r="836" spans="1:9" x14ac:dyDescent="0.2">
      <c r="A836" t="s">
        <v>41</v>
      </c>
      <c r="B836" t="s">
        <v>10</v>
      </c>
      <c r="C836" s="3">
        <v>43160</v>
      </c>
      <c r="D836" s="3">
        <v>43160</v>
      </c>
      <c r="E836" s="3">
        <v>43168</v>
      </c>
      <c r="G836">
        <v>10323</v>
      </c>
      <c r="H836">
        <v>11974.7</v>
      </c>
      <c r="I836" t="s">
        <v>11</v>
      </c>
    </row>
    <row r="837" spans="1:9" x14ac:dyDescent="0.2">
      <c r="A837" t="s">
        <v>41</v>
      </c>
      <c r="B837" t="s">
        <v>10</v>
      </c>
      <c r="C837" s="3">
        <v>43160</v>
      </c>
      <c r="D837" s="3">
        <v>43160</v>
      </c>
      <c r="E837" s="3">
        <v>43168</v>
      </c>
      <c r="G837">
        <v>7066.92</v>
      </c>
      <c r="H837">
        <v>8197.6299999999992</v>
      </c>
      <c r="I837" t="s">
        <v>11</v>
      </c>
    </row>
    <row r="838" spans="1:9" x14ac:dyDescent="0.2">
      <c r="A838" t="s">
        <v>41</v>
      </c>
      <c r="B838" t="s">
        <v>10</v>
      </c>
      <c r="C838" s="3">
        <v>43160</v>
      </c>
      <c r="D838" s="3">
        <v>43160</v>
      </c>
      <c r="E838" s="3">
        <v>43168</v>
      </c>
      <c r="G838">
        <v>8298.23</v>
      </c>
      <c r="H838">
        <v>9625.94</v>
      </c>
      <c r="I838" t="s">
        <v>11</v>
      </c>
    </row>
    <row r="839" spans="1:9" x14ac:dyDescent="0.2">
      <c r="A839" t="s">
        <v>41</v>
      </c>
      <c r="B839" t="s">
        <v>10</v>
      </c>
      <c r="C839" s="3">
        <v>43160</v>
      </c>
      <c r="D839" s="3">
        <v>43160</v>
      </c>
      <c r="E839" s="3">
        <v>43168</v>
      </c>
      <c r="G839">
        <v>22202.400000000001</v>
      </c>
      <c r="H839">
        <v>25754.799999999999</v>
      </c>
      <c r="I839" t="s">
        <v>11</v>
      </c>
    </row>
    <row r="840" spans="1:9" x14ac:dyDescent="0.2">
      <c r="A840" t="s">
        <v>41</v>
      </c>
      <c r="B840" t="s">
        <v>10</v>
      </c>
      <c r="C840" s="3">
        <v>43159</v>
      </c>
      <c r="D840" s="3">
        <v>43159</v>
      </c>
      <c r="E840" s="3">
        <v>43167</v>
      </c>
      <c r="G840">
        <v>12927.4</v>
      </c>
      <c r="H840">
        <v>14995.8</v>
      </c>
      <c r="I840" t="s">
        <v>11</v>
      </c>
    </row>
    <row r="841" spans="1:9" x14ac:dyDescent="0.2">
      <c r="A841" t="s">
        <v>40</v>
      </c>
      <c r="B841" t="s">
        <v>10</v>
      </c>
      <c r="C841" s="3">
        <v>43159</v>
      </c>
      <c r="D841" s="3">
        <v>43159</v>
      </c>
      <c r="E841" s="3">
        <v>43174</v>
      </c>
      <c r="G841">
        <v>9100</v>
      </c>
      <c r="H841">
        <v>10556</v>
      </c>
      <c r="I841" t="s">
        <v>11</v>
      </c>
    </row>
    <row r="842" spans="1:9" x14ac:dyDescent="0.2">
      <c r="A842" t="s">
        <v>40</v>
      </c>
      <c r="B842" t="s">
        <v>10</v>
      </c>
      <c r="C842" s="3">
        <v>43159</v>
      </c>
      <c r="D842" s="3">
        <v>43159</v>
      </c>
      <c r="E842" s="3">
        <v>43174</v>
      </c>
      <c r="G842">
        <v>34800</v>
      </c>
      <c r="H842">
        <v>40368</v>
      </c>
      <c r="I842" t="s">
        <v>11</v>
      </c>
    </row>
    <row r="843" spans="1:9" x14ac:dyDescent="0.2">
      <c r="A843" t="s">
        <v>17</v>
      </c>
      <c r="B843" t="s">
        <v>10</v>
      </c>
      <c r="C843" s="3">
        <v>43159</v>
      </c>
      <c r="D843" s="3">
        <v>43159</v>
      </c>
      <c r="E843" s="3">
        <v>43204</v>
      </c>
      <c r="G843">
        <v>25202</v>
      </c>
      <c r="H843">
        <v>29234.3</v>
      </c>
      <c r="I843" t="s">
        <v>11</v>
      </c>
    </row>
    <row r="844" spans="1:9" x14ac:dyDescent="0.2">
      <c r="A844" t="s">
        <v>41</v>
      </c>
      <c r="B844" t="s">
        <v>10</v>
      </c>
      <c r="C844" s="3">
        <v>43159</v>
      </c>
      <c r="D844" s="3">
        <v>43159</v>
      </c>
      <c r="E844" s="3">
        <v>43167</v>
      </c>
      <c r="G844">
        <v>4066.63</v>
      </c>
      <c r="H844">
        <v>4717.29</v>
      </c>
      <c r="I844" t="s">
        <v>11</v>
      </c>
    </row>
    <row r="845" spans="1:9" x14ac:dyDescent="0.2">
      <c r="A845" t="s">
        <v>41</v>
      </c>
      <c r="B845" t="s">
        <v>10</v>
      </c>
      <c r="C845" s="3">
        <v>43157</v>
      </c>
      <c r="D845" s="3">
        <v>43157</v>
      </c>
      <c r="E845" s="3">
        <v>43165</v>
      </c>
      <c r="G845">
        <v>12750</v>
      </c>
      <c r="H845">
        <v>14790</v>
      </c>
      <c r="I845" t="s">
        <v>11</v>
      </c>
    </row>
    <row r="846" spans="1:9" x14ac:dyDescent="0.2">
      <c r="A846" t="s">
        <v>18</v>
      </c>
      <c r="B846" t="s">
        <v>10</v>
      </c>
      <c r="C846" s="3">
        <v>43156</v>
      </c>
      <c r="D846" s="3">
        <v>43156</v>
      </c>
      <c r="E846" s="3">
        <v>43186</v>
      </c>
      <c r="G846">
        <v>16532</v>
      </c>
      <c r="H846">
        <v>19177.099999999999</v>
      </c>
      <c r="I846" t="s">
        <v>11</v>
      </c>
    </row>
    <row r="847" spans="1:9" x14ac:dyDescent="0.2">
      <c r="A847" t="s">
        <v>17</v>
      </c>
      <c r="B847" t="s">
        <v>10</v>
      </c>
      <c r="C847" s="3">
        <v>43154</v>
      </c>
      <c r="D847" s="3">
        <v>43154</v>
      </c>
      <c r="E847" s="3">
        <v>43199</v>
      </c>
      <c r="G847">
        <v>25202</v>
      </c>
      <c r="H847">
        <v>29234.3</v>
      </c>
      <c r="I847" t="s">
        <v>11</v>
      </c>
    </row>
    <row r="848" spans="1:9" x14ac:dyDescent="0.2">
      <c r="A848" t="s">
        <v>17</v>
      </c>
      <c r="B848" t="s">
        <v>10</v>
      </c>
      <c r="C848" s="3">
        <v>43154</v>
      </c>
      <c r="D848" s="3">
        <v>43154</v>
      </c>
      <c r="E848" s="3">
        <v>43199</v>
      </c>
      <c r="G848">
        <v>25202</v>
      </c>
      <c r="H848">
        <v>29234.3</v>
      </c>
      <c r="I848" t="s">
        <v>11</v>
      </c>
    </row>
    <row r="849" spans="1:9" x14ac:dyDescent="0.2">
      <c r="A849" t="s">
        <v>17</v>
      </c>
      <c r="B849" t="s">
        <v>14</v>
      </c>
      <c r="C849" s="3">
        <v>43154</v>
      </c>
      <c r="D849" s="3">
        <v>43154</v>
      </c>
      <c r="E849" s="3">
        <v>43199</v>
      </c>
      <c r="F849" s="3">
        <v>43154</v>
      </c>
      <c r="G849">
        <v>25202</v>
      </c>
      <c r="H849">
        <v>29234.3</v>
      </c>
      <c r="I849">
        <v>3</v>
      </c>
    </row>
    <row r="850" spans="1:9" x14ac:dyDescent="0.2">
      <c r="A850" t="s">
        <v>41</v>
      </c>
      <c r="B850" t="s">
        <v>10</v>
      </c>
      <c r="C850" s="3">
        <v>43154</v>
      </c>
      <c r="D850" s="3">
        <v>43154</v>
      </c>
      <c r="E850" s="3">
        <v>43162</v>
      </c>
      <c r="G850">
        <v>16809.599999999999</v>
      </c>
      <c r="H850">
        <v>19499.099999999999</v>
      </c>
      <c r="I850" t="s">
        <v>11</v>
      </c>
    </row>
    <row r="851" spans="1:9" x14ac:dyDescent="0.2">
      <c r="A851" t="s">
        <v>17</v>
      </c>
      <c r="B851" t="s">
        <v>14</v>
      </c>
      <c r="C851" s="3">
        <v>43154</v>
      </c>
      <c r="D851" s="3">
        <v>43154</v>
      </c>
      <c r="E851" s="3">
        <v>43199</v>
      </c>
      <c r="F851" s="3">
        <v>43154</v>
      </c>
      <c r="G851">
        <v>16809.599999999999</v>
      </c>
      <c r="H851">
        <v>19499.099999999999</v>
      </c>
      <c r="I851">
        <v>3</v>
      </c>
    </row>
    <row r="852" spans="1:9" x14ac:dyDescent="0.2">
      <c r="A852" t="s">
        <v>19</v>
      </c>
      <c r="B852" t="s">
        <v>10</v>
      </c>
      <c r="C852" s="3">
        <v>43153</v>
      </c>
      <c r="D852" s="3">
        <v>43153</v>
      </c>
      <c r="E852" s="3">
        <v>43168</v>
      </c>
      <c r="G852">
        <v>22577</v>
      </c>
      <c r="H852">
        <v>26189.3</v>
      </c>
      <c r="I852" t="s">
        <v>11</v>
      </c>
    </row>
    <row r="853" spans="1:9" x14ac:dyDescent="0.2">
      <c r="A853" t="s">
        <v>19</v>
      </c>
      <c r="B853" t="s">
        <v>10</v>
      </c>
      <c r="C853" s="3">
        <v>43151</v>
      </c>
      <c r="D853" s="3">
        <v>43151</v>
      </c>
      <c r="E853" s="3">
        <v>43166</v>
      </c>
      <c r="G853">
        <v>29480</v>
      </c>
      <c r="H853">
        <v>34196.800000000003</v>
      </c>
      <c r="I853" t="s">
        <v>11</v>
      </c>
    </row>
    <row r="854" spans="1:9" x14ac:dyDescent="0.2">
      <c r="A854" t="s">
        <v>40</v>
      </c>
      <c r="B854" t="s">
        <v>10</v>
      </c>
      <c r="C854" s="3">
        <v>43151</v>
      </c>
      <c r="D854" s="3">
        <v>43151</v>
      </c>
      <c r="E854" s="3">
        <v>43166</v>
      </c>
      <c r="G854">
        <v>34800</v>
      </c>
      <c r="H854">
        <v>40368</v>
      </c>
      <c r="I854" t="s">
        <v>11</v>
      </c>
    </row>
    <row r="855" spans="1:9" x14ac:dyDescent="0.2">
      <c r="A855" t="s">
        <v>40</v>
      </c>
      <c r="B855" t="s">
        <v>14</v>
      </c>
      <c r="C855" s="3">
        <v>43150</v>
      </c>
      <c r="D855" s="3">
        <v>43150</v>
      </c>
      <c r="E855" s="3">
        <v>43165</v>
      </c>
      <c r="F855" s="3">
        <v>43151</v>
      </c>
      <c r="G855">
        <v>34800</v>
      </c>
      <c r="H855">
        <v>40368</v>
      </c>
      <c r="I855">
        <v>3</v>
      </c>
    </row>
    <row r="856" spans="1:9" x14ac:dyDescent="0.2">
      <c r="A856" t="s">
        <v>40</v>
      </c>
      <c r="B856" t="s">
        <v>10</v>
      </c>
      <c r="C856" s="3">
        <v>43150</v>
      </c>
      <c r="D856" s="3">
        <v>43150</v>
      </c>
      <c r="E856" s="3">
        <v>43165</v>
      </c>
      <c r="G856">
        <v>9100</v>
      </c>
      <c r="H856">
        <v>10556</v>
      </c>
      <c r="I856" t="s">
        <v>11</v>
      </c>
    </row>
    <row r="857" spans="1:9" x14ac:dyDescent="0.2">
      <c r="A857" t="s">
        <v>41</v>
      </c>
      <c r="B857" t="s">
        <v>10</v>
      </c>
      <c r="C857" s="3">
        <v>43146</v>
      </c>
      <c r="D857" s="3">
        <v>43146</v>
      </c>
      <c r="E857" s="3">
        <v>43154</v>
      </c>
      <c r="G857">
        <v>54559.199999999997</v>
      </c>
      <c r="H857">
        <v>63288.7</v>
      </c>
      <c r="I857" t="s">
        <v>11</v>
      </c>
    </row>
    <row r="858" spans="1:9" x14ac:dyDescent="0.2">
      <c r="A858" t="s">
        <v>41</v>
      </c>
      <c r="B858" t="s">
        <v>10</v>
      </c>
      <c r="C858" s="3">
        <v>43137</v>
      </c>
      <c r="D858" s="3">
        <v>43137</v>
      </c>
      <c r="E858" s="3">
        <v>43145</v>
      </c>
      <c r="G858">
        <v>47373.7</v>
      </c>
      <c r="H858">
        <v>54953.5</v>
      </c>
      <c r="I858" t="s">
        <v>11</v>
      </c>
    </row>
    <row r="859" spans="1:9" x14ac:dyDescent="0.2">
      <c r="A859" t="s">
        <v>26</v>
      </c>
      <c r="B859" t="s">
        <v>10</v>
      </c>
      <c r="C859" s="3">
        <v>43133</v>
      </c>
      <c r="D859" s="3">
        <v>43133</v>
      </c>
      <c r="E859" s="3">
        <v>43140</v>
      </c>
      <c r="G859">
        <v>11631.2</v>
      </c>
      <c r="H859">
        <v>13492.2</v>
      </c>
      <c r="I859" t="s">
        <v>11</v>
      </c>
    </row>
    <row r="860" spans="1:9" x14ac:dyDescent="0.2">
      <c r="A860" t="s">
        <v>40</v>
      </c>
      <c r="B860" t="s">
        <v>10</v>
      </c>
      <c r="C860" s="3">
        <v>43133</v>
      </c>
      <c r="D860" s="3">
        <v>43133</v>
      </c>
      <c r="E860" s="3">
        <v>43148</v>
      </c>
      <c r="G860">
        <v>38572</v>
      </c>
      <c r="H860">
        <v>44743.5</v>
      </c>
      <c r="I860" t="s">
        <v>11</v>
      </c>
    </row>
    <row r="861" spans="1:9" x14ac:dyDescent="0.2">
      <c r="A861" t="s">
        <v>41</v>
      </c>
      <c r="B861" t="s">
        <v>10</v>
      </c>
      <c r="C861" s="3">
        <v>43131</v>
      </c>
      <c r="D861" s="3">
        <v>43131</v>
      </c>
      <c r="E861" s="3">
        <v>43139</v>
      </c>
      <c r="G861">
        <v>41072</v>
      </c>
      <c r="H861">
        <v>47643.5</v>
      </c>
      <c r="I861" t="s">
        <v>11</v>
      </c>
    </row>
    <row r="862" spans="1:9" x14ac:dyDescent="0.2">
      <c r="A862" t="s">
        <v>41</v>
      </c>
      <c r="B862" t="s">
        <v>10</v>
      </c>
      <c r="C862" s="3">
        <v>43131</v>
      </c>
      <c r="D862" s="3">
        <v>43131</v>
      </c>
      <c r="E862" s="3">
        <v>43139</v>
      </c>
      <c r="G862">
        <v>23461.200000000001</v>
      </c>
      <c r="H862">
        <v>27214.9</v>
      </c>
      <c r="I862" t="s">
        <v>11</v>
      </c>
    </row>
    <row r="863" spans="1:9" x14ac:dyDescent="0.2">
      <c r="A863" t="s">
        <v>18</v>
      </c>
      <c r="B863" t="s">
        <v>10</v>
      </c>
      <c r="C863" s="3">
        <v>43130</v>
      </c>
      <c r="D863" s="3">
        <v>43130</v>
      </c>
      <c r="E863" s="3">
        <v>43160</v>
      </c>
      <c r="G863">
        <v>7722</v>
      </c>
      <c r="H863">
        <v>8957.52</v>
      </c>
      <c r="I863" t="s">
        <v>11</v>
      </c>
    </row>
    <row r="864" spans="1:9" x14ac:dyDescent="0.2">
      <c r="A864" t="s">
        <v>9</v>
      </c>
      <c r="B864" t="s">
        <v>10</v>
      </c>
      <c r="C864" s="3">
        <v>43130</v>
      </c>
      <c r="D864" s="3">
        <v>43130</v>
      </c>
      <c r="E864" s="3">
        <v>43137</v>
      </c>
      <c r="G864">
        <v>2203</v>
      </c>
      <c r="H864">
        <v>2555.48</v>
      </c>
      <c r="I864" t="s">
        <v>11</v>
      </c>
    </row>
    <row r="865" spans="1:9" x14ac:dyDescent="0.2">
      <c r="A865" t="s">
        <v>22</v>
      </c>
      <c r="B865" t="s">
        <v>10</v>
      </c>
      <c r="C865" s="3">
        <v>43130</v>
      </c>
      <c r="D865" s="3">
        <v>43130</v>
      </c>
      <c r="E865" s="3">
        <v>43160</v>
      </c>
      <c r="G865">
        <v>63444.4</v>
      </c>
      <c r="H865">
        <v>73595.5</v>
      </c>
      <c r="I865" t="s">
        <v>11</v>
      </c>
    </row>
    <row r="866" spans="1:9" x14ac:dyDescent="0.2">
      <c r="A866" t="s">
        <v>22</v>
      </c>
      <c r="B866" t="s">
        <v>10</v>
      </c>
      <c r="C866" s="3">
        <v>43130</v>
      </c>
      <c r="D866" s="3">
        <v>43130</v>
      </c>
      <c r="E866" s="3">
        <v>43160</v>
      </c>
      <c r="G866">
        <v>2320</v>
      </c>
      <c r="H866">
        <v>2691.2</v>
      </c>
      <c r="I866" t="s">
        <v>11</v>
      </c>
    </row>
    <row r="867" spans="1:9" x14ac:dyDescent="0.2">
      <c r="A867" t="s">
        <v>20</v>
      </c>
      <c r="B867" t="s">
        <v>10</v>
      </c>
      <c r="C867" s="3">
        <v>43129</v>
      </c>
      <c r="D867" s="3">
        <v>43129</v>
      </c>
      <c r="E867" s="3">
        <v>43174</v>
      </c>
      <c r="G867">
        <v>50068</v>
      </c>
      <c r="H867">
        <v>58078.8</v>
      </c>
      <c r="I867" t="s">
        <v>11</v>
      </c>
    </row>
    <row r="868" spans="1:9" x14ac:dyDescent="0.2">
      <c r="A868" t="s">
        <v>40</v>
      </c>
      <c r="B868" t="s">
        <v>10</v>
      </c>
      <c r="C868" s="3">
        <v>43125</v>
      </c>
      <c r="D868" s="3">
        <v>43125</v>
      </c>
      <c r="E868" s="3">
        <v>43140</v>
      </c>
      <c r="G868">
        <v>38572</v>
      </c>
      <c r="H868">
        <v>44743.5</v>
      </c>
      <c r="I868" t="s">
        <v>11</v>
      </c>
    </row>
    <row r="869" spans="1:9" x14ac:dyDescent="0.2">
      <c r="A869" t="s">
        <v>40</v>
      </c>
      <c r="B869" t="s">
        <v>10</v>
      </c>
      <c r="C869" s="3">
        <v>43125</v>
      </c>
      <c r="D869" s="3">
        <v>43125</v>
      </c>
      <c r="E869" s="3">
        <v>43140</v>
      </c>
      <c r="G869">
        <v>9100</v>
      </c>
      <c r="H869">
        <v>10556</v>
      </c>
      <c r="I869" t="s">
        <v>11</v>
      </c>
    </row>
    <row r="870" spans="1:9" x14ac:dyDescent="0.2">
      <c r="A870" t="s">
        <v>18</v>
      </c>
      <c r="B870" t="s">
        <v>10</v>
      </c>
      <c r="C870" s="3">
        <v>43124</v>
      </c>
      <c r="D870" s="3">
        <v>43123</v>
      </c>
      <c r="E870" s="3">
        <v>43154</v>
      </c>
      <c r="G870">
        <v>16304</v>
      </c>
      <c r="H870">
        <v>18912.599999999999</v>
      </c>
      <c r="I870" t="s">
        <v>11</v>
      </c>
    </row>
    <row r="871" spans="1:9" x14ac:dyDescent="0.2">
      <c r="A871" t="s">
        <v>55</v>
      </c>
      <c r="B871" t="s">
        <v>10</v>
      </c>
      <c r="C871" s="3">
        <v>43123</v>
      </c>
      <c r="D871" s="3">
        <v>43122</v>
      </c>
      <c r="E871" s="3">
        <v>43131</v>
      </c>
      <c r="G871">
        <v>2900</v>
      </c>
      <c r="H871">
        <v>3364</v>
      </c>
      <c r="I871" t="s">
        <v>11</v>
      </c>
    </row>
    <row r="872" spans="1:9" x14ac:dyDescent="0.2">
      <c r="A872" t="s">
        <v>13</v>
      </c>
      <c r="B872" t="s">
        <v>10</v>
      </c>
      <c r="C872" s="3">
        <v>43123</v>
      </c>
      <c r="D872" s="3">
        <v>43123</v>
      </c>
      <c r="E872" s="3">
        <v>43153</v>
      </c>
      <c r="G872">
        <v>650</v>
      </c>
      <c r="H872">
        <v>754</v>
      </c>
      <c r="I872" t="s">
        <v>11</v>
      </c>
    </row>
    <row r="873" spans="1:9" x14ac:dyDescent="0.2">
      <c r="A873" t="s">
        <v>18</v>
      </c>
      <c r="B873" t="s">
        <v>10</v>
      </c>
      <c r="C873" s="3">
        <v>43122</v>
      </c>
      <c r="D873" s="3">
        <v>43122</v>
      </c>
      <c r="E873" s="3">
        <v>43152</v>
      </c>
      <c r="G873">
        <v>18238</v>
      </c>
      <c r="H873">
        <v>21156</v>
      </c>
      <c r="I873" t="s">
        <v>11</v>
      </c>
    </row>
    <row r="874" spans="1:9" x14ac:dyDescent="0.2">
      <c r="A874" t="s">
        <v>13</v>
      </c>
      <c r="B874" t="s">
        <v>10</v>
      </c>
      <c r="C874" s="3">
        <v>43122</v>
      </c>
      <c r="D874" s="3">
        <v>43122</v>
      </c>
      <c r="E874" s="3">
        <v>43152</v>
      </c>
      <c r="G874">
        <v>9056</v>
      </c>
      <c r="H874">
        <v>10504.9</v>
      </c>
      <c r="I874" t="s">
        <v>11</v>
      </c>
    </row>
    <row r="875" spans="1:9" x14ac:dyDescent="0.2">
      <c r="A875" t="s">
        <v>13</v>
      </c>
      <c r="B875" t="s">
        <v>10</v>
      </c>
      <c r="C875" s="3">
        <v>43119</v>
      </c>
      <c r="D875" s="3">
        <v>43119</v>
      </c>
      <c r="E875" s="3">
        <v>43149</v>
      </c>
      <c r="G875">
        <v>2247</v>
      </c>
      <c r="H875">
        <v>2606.52</v>
      </c>
      <c r="I875" t="s">
        <v>11</v>
      </c>
    </row>
    <row r="876" spans="1:9" x14ac:dyDescent="0.2">
      <c r="A876" t="s">
        <v>40</v>
      </c>
      <c r="B876" t="s">
        <v>10</v>
      </c>
      <c r="C876" s="3">
        <v>43118</v>
      </c>
      <c r="D876" s="3">
        <v>43118</v>
      </c>
      <c r="E876" s="3">
        <v>43133</v>
      </c>
      <c r="G876">
        <v>504</v>
      </c>
      <c r="H876">
        <v>584.64</v>
      </c>
      <c r="I876" t="s">
        <v>11</v>
      </c>
    </row>
    <row r="877" spans="1:9" x14ac:dyDescent="0.2">
      <c r="A877" t="s">
        <v>13</v>
      </c>
      <c r="B877" t="s">
        <v>10</v>
      </c>
      <c r="C877" s="3">
        <v>43117</v>
      </c>
      <c r="D877" s="3">
        <v>43117</v>
      </c>
      <c r="E877" s="3">
        <v>43147</v>
      </c>
      <c r="G877">
        <v>2247</v>
      </c>
      <c r="H877">
        <v>2606.52</v>
      </c>
      <c r="I877" t="s">
        <v>11</v>
      </c>
    </row>
    <row r="878" spans="1:9" x14ac:dyDescent="0.2">
      <c r="A878" t="s">
        <v>26</v>
      </c>
      <c r="B878" t="s">
        <v>10</v>
      </c>
      <c r="C878" s="3">
        <v>43116</v>
      </c>
      <c r="D878" s="3">
        <v>43116</v>
      </c>
      <c r="E878" s="3">
        <v>43123</v>
      </c>
      <c r="G878">
        <v>2208.64</v>
      </c>
      <c r="H878">
        <v>2562.02</v>
      </c>
      <c r="I878" t="s">
        <v>11</v>
      </c>
    </row>
    <row r="879" spans="1:9" x14ac:dyDescent="0.2">
      <c r="A879" t="s">
        <v>18</v>
      </c>
      <c r="B879" t="s">
        <v>10</v>
      </c>
      <c r="C879" s="3">
        <v>43116</v>
      </c>
      <c r="D879" s="3">
        <v>43116</v>
      </c>
      <c r="E879" s="3">
        <v>43146</v>
      </c>
      <c r="G879">
        <v>34848</v>
      </c>
      <c r="H879">
        <v>40423.599999999999</v>
      </c>
      <c r="I879" t="s">
        <v>11</v>
      </c>
    </row>
    <row r="880" spans="1:9" x14ac:dyDescent="0.2">
      <c r="A880" t="s">
        <v>13</v>
      </c>
      <c r="B880" t="s">
        <v>10</v>
      </c>
      <c r="C880" s="3">
        <v>43116</v>
      </c>
      <c r="D880" s="3">
        <v>43116</v>
      </c>
      <c r="E880" s="3">
        <v>43146</v>
      </c>
      <c r="G880">
        <v>21040</v>
      </c>
      <c r="H880">
        <v>24406.400000000001</v>
      </c>
      <c r="I880" t="s">
        <v>11</v>
      </c>
    </row>
    <row r="881" spans="1:9" x14ac:dyDescent="0.2">
      <c r="A881" t="s">
        <v>18</v>
      </c>
      <c r="B881" t="s">
        <v>10</v>
      </c>
      <c r="C881" s="3">
        <v>43115</v>
      </c>
      <c r="D881" s="3">
        <v>43115</v>
      </c>
      <c r="E881" s="3">
        <v>43145</v>
      </c>
      <c r="G881">
        <v>29480</v>
      </c>
      <c r="H881">
        <v>34196.800000000003</v>
      </c>
      <c r="I881" t="s">
        <v>11</v>
      </c>
    </row>
    <row r="882" spans="1:9" x14ac:dyDescent="0.2">
      <c r="A882" t="s">
        <v>19</v>
      </c>
      <c r="B882" t="s">
        <v>10</v>
      </c>
      <c r="C882" s="3">
        <v>43115</v>
      </c>
      <c r="D882" s="3">
        <v>43115</v>
      </c>
      <c r="E882" s="3">
        <v>43130</v>
      </c>
      <c r="G882">
        <v>17520</v>
      </c>
      <c r="H882">
        <v>20323.2</v>
      </c>
      <c r="I882" t="s">
        <v>11</v>
      </c>
    </row>
    <row r="883" spans="1:9" x14ac:dyDescent="0.2">
      <c r="A883" t="s">
        <v>18</v>
      </c>
      <c r="B883" t="s">
        <v>10</v>
      </c>
      <c r="C883" s="3">
        <v>43112</v>
      </c>
      <c r="D883" s="3">
        <v>43112</v>
      </c>
      <c r="E883" s="3">
        <v>43142</v>
      </c>
      <c r="G883">
        <v>28400</v>
      </c>
      <c r="H883">
        <v>32944</v>
      </c>
      <c r="I883" t="s">
        <v>11</v>
      </c>
    </row>
    <row r="884" spans="1:9" x14ac:dyDescent="0.2">
      <c r="A884" t="s">
        <v>18</v>
      </c>
      <c r="B884" t="s">
        <v>10</v>
      </c>
      <c r="C884" s="3">
        <v>43112</v>
      </c>
      <c r="D884" s="3">
        <v>43112</v>
      </c>
      <c r="E884" s="3">
        <v>43142</v>
      </c>
      <c r="G884">
        <v>4632</v>
      </c>
      <c r="H884">
        <v>5373.12</v>
      </c>
      <c r="I884" t="s">
        <v>11</v>
      </c>
    </row>
    <row r="885" spans="1:9" x14ac:dyDescent="0.2">
      <c r="A885" t="s">
        <v>18</v>
      </c>
      <c r="B885" t="s">
        <v>10</v>
      </c>
      <c r="C885" s="3">
        <v>43109</v>
      </c>
      <c r="D885" s="3">
        <v>43109</v>
      </c>
      <c r="E885" s="3">
        <v>43139</v>
      </c>
      <c r="G885">
        <v>2660</v>
      </c>
      <c r="H885">
        <v>3085.6</v>
      </c>
      <c r="I885" t="s">
        <v>11</v>
      </c>
    </row>
    <row r="886" spans="1:9" x14ac:dyDescent="0.2">
      <c r="A886" t="s">
        <v>41</v>
      </c>
      <c r="B886" t="s">
        <v>10</v>
      </c>
      <c r="C886" s="3">
        <v>43109</v>
      </c>
      <c r="D886" s="3">
        <v>43109</v>
      </c>
      <c r="E886" s="3">
        <v>43117</v>
      </c>
      <c r="G886">
        <v>20683.599999999999</v>
      </c>
      <c r="H886">
        <v>23993</v>
      </c>
      <c r="I886" t="s">
        <v>11</v>
      </c>
    </row>
    <row r="887" spans="1:9" x14ac:dyDescent="0.2">
      <c r="A887" t="s">
        <v>41</v>
      </c>
      <c r="B887" t="s">
        <v>10</v>
      </c>
      <c r="C887" s="3">
        <v>43109</v>
      </c>
      <c r="D887" s="3">
        <v>43109</v>
      </c>
      <c r="E887" s="3">
        <v>43117</v>
      </c>
      <c r="G887">
        <v>20683.599999999999</v>
      </c>
      <c r="H887">
        <v>23993</v>
      </c>
      <c r="I887" t="s">
        <v>11</v>
      </c>
    </row>
    <row r="888" spans="1:9" x14ac:dyDescent="0.2">
      <c r="A888" t="s">
        <v>41</v>
      </c>
      <c r="B888" t="s">
        <v>10</v>
      </c>
      <c r="C888" s="3">
        <v>43108</v>
      </c>
      <c r="D888" s="3">
        <v>43108</v>
      </c>
      <c r="E888" s="3">
        <v>43116</v>
      </c>
      <c r="G888">
        <v>2581.4299999999998</v>
      </c>
      <c r="H888">
        <v>2994.46</v>
      </c>
      <c r="I888" t="s">
        <v>11</v>
      </c>
    </row>
    <row r="889" spans="1:9" x14ac:dyDescent="0.2">
      <c r="A889" t="s">
        <v>41</v>
      </c>
      <c r="B889" t="s">
        <v>10</v>
      </c>
      <c r="C889" s="3">
        <v>43108</v>
      </c>
      <c r="D889" s="3">
        <v>43108</v>
      </c>
      <c r="E889" s="3">
        <v>43116</v>
      </c>
      <c r="G889">
        <v>53345.5</v>
      </c>
      <c r="H889">
        <v>61880.800000000003</v>
      </c>
      <c r="I889" t="s">
        <v>11</v>
      </c>
    </row>
    <row r="890" spans="1:9" x14ac:dyDescent="0.2">
      <c r="A890" t="s">
        <v>41</v>
      </c>
      <c r="B890" t="s">
        <v>10</v>
      </c>
      <c r="C890" s="3">
        <v>43108</v>
      </c>
      <c r="D890" s="3">
        <v>43108</v>
      </c>
      <c r="E890" s="3">
        <v>43116</v>
      </c>
      <c r="G890">
        <v>25814.3</v>
      </c>
      <c r="H890">
        <v>29944.6</v>
      </c>
      <c r="I890" t="s">
        <v>11</v>
      </c>
    </row>
    <row r="891" spans="1:9" x14ac:dyDescent="0.2">
      <c r="A891" t="s">
        <v>40</v>
      </c>
      <c r="B891" t="s">
        <v>10</v>
      </c>
      <c r="C891" s="3">
        <v>43104</v>
      </c>
      <c r="D891" s="3">
        <v>43104</v>
      </c>
      <c r="E891" s="3">
        <v>43119</v>
      </c>
      <c r="G891">
        <v>833</v>
      </c>
      <c r="H891">
        <v>966.28</v>
      </c>
      <c r="I891" t="s">
        <v>11</v>
      </c>
    </row>
    <row r="892" spans="1:9" x14ac:dyDescent="0.2">
      <c r="A892" t="s">
        <v>25</v>
      </c>
      <c r="B892" t="s">
        <v>10</v>
      </c>
      <c r="C892" s="3">
        <v>43104</v>
      </c>
      <c r="D892" s="3">
        <v>43104</v>
      </c>
      <c r="E892" s="3">
        <v>43134</v>
      </c>
      <c r="G892">
        <v>5620</v>
      </c>
      <c r="H892">
        <v>6519.2</v>
      </c>
      <c r="I892" t="s">
        <v>11</v>
      </c>
    </row>
    <row r="893" spans="1:9" x14ac:dyDescent="0.2">
      <c r="A893" t="s">
        <v>41</v>
      </c>
      <c r="B893" t="s">
        <v>10</v>
      </c>
      <c r="C893" s="3">
        <v>43104</v>
      </c>
      <c r="D893" s="3">
        <v>43104</v>
      </c>
      <c r="E893" s="3">
        <v>43112</v>
      </c>
      <c r="G893">
        <v>3343.47</v>
      </c>
      <c r="H893">
        <v>3878.43</v>
      </c>
      <c r="I893" t="s">
        <v>11</v>
      </c>
    </row>
    <row r="894" spans="1:9" x14ac:dyDescent="0.2">
      <c r="A894" t="s">
        <v>41</v>
      </c>
      <c r="B894" t="s">
        <v>10</v>
      </c>
      <c r="C894" s="3">
        <v>43104</v>
      </c>
      <c r="D894" s="3">
        <v>43104</v>
      </c>
      <c r="E894" s="3">
        <v>43112</v>
      </c>
      <c r="G894">
        <v>2340</v>
      </c>
      <c r="H894">
        <v>2714.4</v>
      </c>
      <c r="I894" t="s">
        <v>11</v>
      </c>
    </row>
    <row r="895" spans="1:9" x14ac:dyDescent="0.2">
      <c r="A895" t="s">
        <v>41</v>
      </c>
      <c r="B895" t="s">
        <v>10</v>
      </c>
      <c r="C895" s="3">
        <v>43104</v>
      </c>
      <c r="D895" s="3">
        <v>43104</v>
      </c>
      <c r="E895" s="3">
        <v>43112</v>
      </c>
      <c r="G895">
        <v>1170</v>
      </c>
      <c r="H895">
        <v>1357.2</v>
      </c>
      <c r="I895" t="s">
        <v>11</v>
      </c>
    </row>
    <row r="896" spans="1:9" x14ac:dyDescent="0.2">
      <c r="A896" t="s">
        <v>41</v>
      </c>
      <c r="B896" t="s">
        <v>10</v>
      </c>
      <c r="C896" s="3">
        <v>43104</v>
      </c>
      <c r="D896" s="3">
        <v>43104</v>
      </c>
      <c r="E896" s="3">
        <v>43112</v>
      </c>
      <c r="G896">
        <v>15656.5</v>
      </c>
      <c r="H896">
        <v>18161.599999999999</v>
      </c>
      <c r="I896" t="s">
        <v>11</v>
      </c>
    </row>
    <row r="897" spans="1:9" x14ac:dyDescent="0.2">
      <c r="A897" t="s">
        <v>41</v>
      </c>
      <c r="B897" t="s">
        <v>10</v>
      </c>
      <c r="C897" s="3">
        <v>43104</v>
      </c>
      <c r="D897" s="3">
        <v>43104</v>
      </c>
      <c r="E897" s="3">
        <v>43112</v>
      </c>
      <c r="G897">
        <v>18787.8</v>
      </c>
      <c r="H897">
        <v>21793.9</v>
      </c>
      <c r="I897" t="s">
        <v>11</v>
      </c>
    </row>
    <row r="898" spans="1:9" x14ac:dyDescent="0.2">
      <c r="A898" t="s">
        <v>41</v>
      </c>
      <c r="B898" t="s">
        <v>10</v>
      </c>
      <c r="C898" s="3">
        <v>43102</v>
      </c>
      <c r="D898" s="3">
        <v>43102</v>
      </c>
      <c r="E898" s="3">
        <v>43110</v>
      </c>
      <c r="G898">
        <v>2648.52</v>
      </c>
      <c r="H898">
        <v>3072.28</v>
      </c>
      <c r="I898" t="s">
        <v>11</v>
      </c>
    </row>
    <row r="899" spans="1:9" x14ac:dyDescent="0.2">
      <c r="A899" t="s">
        <v>41</v>
      </c>
      <c r="B899" t="s">
        <v>10</v>
      </c>
      <c r="C899" s="3">
        <v>43102</v>
      </c>
      <c r="D899" s="3">
        <v>43102</v>
      </c>
      <c r="E899" s="3">
        <v>43110</v>
      </c>
      <c r="G899">
        <v>2208.31</v>
      </c>
      <c r="H899">
        <v>2561.64</v>
      </c>
      <c r="I899" t="s">
        <v>11</v>
      </c>
    </row>
    <row r="900" spans="1:9" x14ac:dyDescent="0.2">
      <c r="A900" t="s">
        <v>41</v>
      </c>
      <c r="B900" t="s">
        <v>10</v>
      </c>
      <c r="C900" s="3">
        <v>43102</v>
      </c>
      <c r="D900" s="3">
        <v>43102</v>
      </c>
      <c r="E900" s="3">
        <v>43110</v>
      </c>
      <c r="G900">
        <v>27695</v>
      </c>
      <c r="H900">
        <v>32126.2</v>
      </c>
      <c r="I900" t="s">
        <v>11</v>
      </c>
    </row>
    <row r="901" spans="1:9" x14ac:dyDescent="0.2">
      <c r="A901" t="s">
        <v>41</v>
      </c>
      <c r="B901" t="s">
        <v>10</v>
      </c>
      <c r="C901" s="3">
        <v>43090</v>
      </c>
      <c r="D901" s="3">
        <v>43090</v>
      </c>
      <c r="E901" s="3">
        <v>43098</v>
      </c>
      <c r="G901">
        <v>6650.87</v>
      </c>
      <c r="H901">
        <v>7715.01</v>
      </c>
      <c r="I901" t="s">
        <v>11</v>
      </c>
    </row>
    <row r="902" spans="1:9" x14ac:dyDescent="0.2">
      <c r="A902" t="s">
        <v>41</v>
      </c>
      <c r="B902" t="s">
        <v>10</v>
      </c>
      <c r="C902" s="3">
        <v>43090</v>
      </c>
      <c r="D902" s="3">
        <v>43090</v>
      </c>
      <c r="E902" s="3">
        <v>43098</v>
      </c>
      <c r="G902">
        <v>49881.5</v>
      </c>
      <c r="H902">
        <v>57862.5</v>
      </c>
      <c r="I902" t="s">
        <v>11</v>
      </c>
    </row>
    <row r="903" spans="1:9" x14ac:dyDescent="0.2">
      <c r="A903" t="s">
        <v>13</v>
      </c>
      <c r="B903" t="s">
        <v>10</v>
      </c>
      <c r="C903" s="3">
        <v>43090</v>
      </c>
      <c r="D903" s="3">
        <v>43090</v>
      </c>
      <c r="E903" s="3">
        <v>43120</v>
      </c>
      <c r="G903">
        <v>3590</v>
      </c>
      <c r="H903">
        <v>4164.3999999999996</v>
      </c>
      <c r="I903" t="s">
        <v>11</v>
      </c>
    </row>
    <row r="904" spans="1:9" x14ac:dyDescent="0.2">
      <c r="A904" t="s">
        <v>40</v>
      </c>
      <c r="B904" t="s">
        <v>10</v>
      </c>
      <c r="C904" s="3">
        <v>43089</v>
      </c>
      <c r="D904" s="3">
        <v>43089</v>
      </c>
      <c r="E904" s="3">
        <v>43104</v>
      </c>
      <c r="G904">
        <v>38572</v>
      </c>
      <c r="H904">
        <v>44743.5</v>
      </c>
      <c r="I904" t="s">
        <v>11</v>
      </c>
    </row>
    <row r="905" spans="1:9" x14ac:dyDescent="0.2">
      <c r="A905" t="s">
        <v>40</v>
      </c>
      <c r="B905" t="s">
        <v>14</v>
      </c>
      <c r="C905" s="3">
        <v>43089</v>
      </c>
      <c r="D905" s="3">
        <v>43089</v>
      </c>
      <c r="E905" s="3">
        <v>43104</v>
      </c>
      <c r="F905" s="3">
        <v>43089</v>
      </c>
      <c r="G905">
        <v>36158</v>
      </c>
      <c r="H905">
        <v>41943.199999999997</v>
      </c>
      <c r="I905">
        <v>3</v>
      </c>
    </row>
    <row r="906" spans="1:9" x14ac:dyDescent="0.2">
      <c r="A906" t="s">
        <v>25</v>
      </c>
      <c r="B906" t="s">
        <v>10</v>
      </c>
      <c r="C906" s="3">
        <v>43089</v>
      </c>
      <c r="D906" s="3">
        <v>43089</v>
      </c>
      <c r="E906" s="3">
        <v>43119</v>
      </c>
      <c r="G906">
        <v>43965</v>
      </c>
      <c r="H906">
        <v>50999.4</v>
      </c>
      <c r="I906" t="s">
        <v>11</v>
      </c>
    </row>
    <row r="907" spans="1:9" x14ac:dyDescent="0.2">
      <c r="A907" t="s">
        <v>41</v>
      </c>
      <c r="B907" t="s">
        <v>10</v>
      </c>
      <c r="C907" s="3">
        <v>43088</v>
      </c>
      <c r="D907" s="3">
        <v>43088</v>
      </c>
      <c r="E907" s="3">
        <v>43096</v>
      </c>
      <c r="G907">
        <v>7420.56</v>
      </c>
      <c r="H907">
        <v>8607.85</v>
      </c>
      <c r="I907" t="s">
        <v>11</v>
      </c>
    </row>
    <row r="908" spans="1:9" x14ac:dyDescent="0.2">
      <c r="A908" t="s">
        <v>40</v>
      </c>
      <c r="B908" t="s">
        <v>10</v>
      </c>
      <c r="C908" s="3">
        <v>43088</v>
      </c>
      <c r="D908" s="3">
        <v>43088</v>
      </c>
      <c r="E908" s="3">
        <v>43103</v>
      </c>
      <c r="G908">
        <v>18200</v>
      </c>
      <c r="H908">
        <v>21112</v>
      </c>
      <c r="I908" t="s">
        <v>11</v>
      </c>
    </row>
    <row r="909" spans="1:9" x14ac:dyDescent="0.2">
      <c r="A909" t="s">
        <v>42</v>
      </c>
      <c r="B909" t="s">
        <v>10</v>
      </c>
      <c r="C909" s="3">
        <v>43087</v>
      </c>
      <c r="D909" s="3">
        <v>43087</v>
      </c>
      <c r="E909" s="3">
        <v>43087</v>
      </c>
      <c r="G909">
        <v>3360</v>
      </c>
      <c r="H909">
        <v>3897.6</v>
      </c>
      <c r="I909" t="s">
        <v>11</v>
      </c>
    </row>
    <row r="910" spans="1:9" x14ac:dyDescent="0.2">
      <c r="A910" t="s">
        <v>40</v>
      </c>
      <c r="B910" t="s">
        <v>10</v>
      </c>
      <c r="C910" s="3">
        <v>43084</v>
      </c>
      <c r="D910" s="3">
        <v>43084</v>
      </c>
      <c r="E910" s="3">
        <v>43099</v>
      </c>
      <c r="G910">
        <v>38572</v>
      </c>
      <c r="H910">
        <v>44743.5</v>
      </c>
      <c r="I910" t="s">
        <v>11</v>
      </c>
    </row>
    <row r="911" spans="1:9" x14ac:dyDescent="0.2">
      <c r="A911" t="s">
        <v>40</v>
      </c>
      <c r="B911" t="s">
        <v>10</v>
      </c>
      <c r="C911" s="3">
        <v>43084</v>
      </c>
      <c r="D911" s="3">
        <v>43084</v>
      </c>
      <c r="E911" s="3">
        <v>43099</v>
      </c>
      <c r="G911">
        <v>36158</v>
      </c>
      <c r="H911">
        <v>41943.199999999997</v>
      </c>
      <c r="I911" t="s">
        <v>11</v>
      </c>
    </row>
    <row r="912" spans="1:9" x14ac:dyDescent="0.2">
      <c r="A912" t="s">
        <v>9</v>
      </c>
      <c r="B912" t="s">
        <v>10</v>
      </c>
      <c r="C912" s="3">
        <v>43084</v>
      </c>
      <c r="D912" s="3">
        <v>43084</v>
      </c>
      <c r="E912" s="3">
        <v>43091</v>
      </c>
      <c r="G912">
        <v>2608</v>
      </c>
      <c r="H912">
        <v>3025.28</v>
      </c>
      <c r="I912" t="s">
        <v>11</v>
      </c>
    </row>
    <row r="913" spans="1:9" x14ac:dyDescent="0.2">
      <c r="A913" t="s">
        <v>9</v>
      </c>
      <c r="B913" t="s">
        <v>14</v>
      </c>
      <c r="C913" s="3">
        <v>43084</v>
      </c>
      <c r="D913" s="3">
        <v>43084</v>
      </c>
      <c r="E913" s="3">
        <v>43091</v>
      </c>
      <c r="F913" s="3">
        <v>43084</v>
      </c>
      <c r="G913">
        <v>2608</v>
      </c>
      <c r="H913">
        <v>3025.28</v>
      </c>
      <c r="I913">
        <v>3</v>
      </c>
    </row>
    <row r="914" spans="1:9" x14ac:dyDescent="0.2">
      <c r="A914" t="s">
        <v>9</v>
      </c>
      <c r="B914" t="s">
        <v>14</v>
      </c>
      <c r="C914" s="3">
        <v>43083</v>
      </c>
      <c r="D914" s="3">
        <v>43083</v>
      </c>
      <c r="E914" s="3">
        <v>43090</v>
      </c>
      <c r="F914" s="3">
        <v>43084</v>
      </c>
      <c r="G914">
        <v>2608</v>
      </c>
      <c r="H914">
        <v>3025.28</v>
      </c>
      <c r="I914">
        <v>3</v>
      </c>
    </row>
    <row r="915" spans="1:9" x14ac:dyDescent="0.2">
      <c r="A915" t="s">
        <v>18</v>
      </c>
      <c r="B915" t="s">
        <v>10</v>
      </c>
      <c r="C915" s="3">
        <v>43083</v>
      </c>
      <c r="D915" s="3">
        <v>43083</v>
      </c>
      <c r="E915" s="3">
        <v>43113</v>
      </c>
      <c r="G915">
        <v>17640</v>
      </c>
      <c r="H915">
        <v>20462.400000000001</v>
      </c>
      <c r="I915" t="s">
        <v>11</v>
      </c>
    </row>
    <row r="916" spans="1:9" x14ac:dyDescent="0.2">
      <c r="A916" t="s">
        <v>41</v>
      </c>
      <c r="B916" t="s">
        <v>10</v>
      </c>
      <c r="C916" s="3">
        <v>43083</v>
      </c>
      <c r="D916" s="3">
        <v>43083</v>
      </c>
      <c r="E916" s="3">
        <v>43091</v>
      </c>
      <c r="G916">
        <v>10221</v>
      </c>
      <c r="H916">
        <v>11856.4</v>
      </c>
      <c r="I916" t="s">
        <v>11</v>
      </c>
    </row>
    <row r="917" spans="1:9" x14ac:dyDescent="0.2">
      <c r="A917" t="s">
        <v>39</v>
      </c>
      <c r="B917" t="s">
        <v>10</v>
      </c>
      <c r="C917" s="3">
        <v>43082</v>
      </c>
      <c r="D917" s="3">
        <v>43082</v>
      </c>
      <c r="E917" s="3">
        <v>43090</v>
      </c>
      <c r="G917">
        <v>9901.86</v>
      </c>
      <c r="H917">
        <v>11486.1</v>
      </c>
      <c r="I917" t="s">
        <v>11</v>
      </c>
    </row>
    <row r="918" spans="1:9" x14ac:dyDescent="0.2">
      <c r="A918" t="s">
        <v>39</v>
      </c>
      <c r="B918" t="s">
        <v>14</v>
      </c>
      <c r="C918" s="3">
        <v>43081</v>
      </c>
      <c r="D918" s="3">
        <v>43081</v>
      </c>
      <c r="E918" s="3">
        <v>43089</v>
      </c>
      <c r="F918" s="3">
        <v>43082</v>
      </c>
      <c r="G918">
        <v>9901.86</v>
      </c>
      <c r="H918">
        <v>11486.1</v>
      </c>
      <c r="I918">
        <v>3</v>
      </c>
    </row>
    <row r="919" spans="1:9" x14ac:dyDescent="0.2">
      <c r="A919" t="s">
        <v>18</v>
      </c>
      <c r="B919" t="s">
        <v>10</v>
      </c>
      <c r="C919" s="3">
        <v>43081</v>
      </c>
      <c r="D919" s="3">
        <v>43081</v>
      </c>
      <c r="E919" s="3">
        <v>43111</v>
      </c>
      <c r="G919">
        <v>2660</v>
      </c>
      <c r="H919">
        <v>3085.6</v>
      </c>
      <c r="I919" t="s">
        <v>11</v>
      </c>
    </row>
    <row r="920" spans="1:9" x14ac:dyDescent="0.2">
      <c r="A920" t="s">
        <v>18</v>
      </c>
      <c r="B920" t="s">
        <v>14</v>
      </c>
      <c r="C920" s="3">
        <v>43080</v>
      </c>
      <c r="D920" s="3">
        <v>43080</v>
      </c>
      <c r="E920" s="3">
        <v>43110</v>
      </c>
      <c r="F920" s="3">
        <v>43081</v>
      </c>
      <c r="G920">
        <v>2660</v>
      </c>
      <c r="H920">
        <v>3085.6</v>
      </c>
      <c r="I920">
        <v>3</v>
      </c>
    </row>
    <row r="921" spans="1:9" x14ac:dyDescent="0.2">
      <c r="A921" t="s">
        <v>18</v>
      </c>
      <c r="B921" t="s">
        <v>14</v>
      </c>
      <c r="C921" s="3">
        <v>43080</v>
      </c>
      <c r="D921" s="3">
        <v>43080</v>
      </c>
      <c r="E921" s="3">
        <v>43110</v>
      </c>
      <c r="F921" s="3">
        <v>43080</v>
      </c>
      <c r="G921">
        <v>2660</v>
      </c>
      <c r="H921">
        <v>3085.6</v>
      </c>
      <c r="I921">
        <v>3</v>
      </c>
    </row>
    <row r="922" spans="1:9" x14ac:dyDescent="0.2">
      <c r="A922" t="s">
        <v>18</v>
      </c>
      <c r="B922" t="s">
        <v>10</v>
      </c>
      <c r="C922" s="3">
        <v>43080</v>
      </c>
      <c r="D922" s="3">
        <v>43080</v>
      </c>
      <c r="E922" s="3">
        <v>43110</v>
      </c>
      <c r="G922">
        <v>147</v>
      </c>
      <c r="H922">
        <v>170.52</v>
      </c>
      <c r="I922" t="s">
        <v>11</v>
      </c>
    </row>
    <row r="923" spans="1:9" x14ac:dyDescent="0.2">
      <c r="A923" t="s">
        <v>41</v>
      </c>
      <c r="B923" t="s">
        <v>10</v>
      </c>
      <c r="C923" s="3">
        <v>43080</v>
      </c>
      <c r="D923" s="3">
        <v>43080</v>
      </c>
      <c r="E923" s="3">
        <v>43088</v>
      </c>
      <c r="G923">
        <v>30877.1</v>
      </c>
      <c r="H923">
        <v>35817.4</v>
      </c>
      <c r="I923" t="s">
        <v>56</v>
      </c>
    </row>
    <row r="924" spans="1:9" x14ac:dyDescent="0.2">
      <c r="A924" t="s">
        <v>20</v>
      </c>
      <c r="B924" t="s">
        <v>10</v>
      </c>
      <c r="C924" s="3">
        <v>43076</v>
      </c>
      <c r="D924" s="3">
        <v>43076</v>
      </c>
      <c r="E924" s="3">
        <v>43121</v>
      </c>
      <c r="G924">
        <v>38698</v>
      </c>
      <c r="H924">
        <v>44889.599999999999</v>
      </c>
      <c r="I924" t="s">
        <v>56</v>
      </c>
    </row>
    <row r="925" spans="1:9" x14ac:dyDescent="0.2">
      <c r="A925" t="s">
        <v>18</v>
      </c>
      <c r="B925" t="s">
        <v>10</v>
      </c>
      <c r="C925" s="3">
        <v>43070</v>
      </c>
      <c r="D925" s="3">
        <v>43070</v>
      </c>
      <c r="E925" s="3">
        <v>43100</v>
      </c>
      <c r="G925">
        <v>16892</v>
      </c>
      <c r="H925">
        <v>19594.7</v>
      </c>
      <c r="I925" t="s">
        <v>56</v>
      </c>
    </row>
    <row r="926" spans="1:9" x14ac:dyDescent="0.2">
      <c r="A926" t="s">
        <v>18</v>
      </c>
      <c r="B926" t="s">
        <v>14</v>
      </c>
      <c r="C926" s="3">
        <v>43070</v>
      </c>
      <c r="D926" s="3">
        <v>43070</v>
      </c>
      <c r="E926" s="3">
        <v>43100</v>
      </c>
      <c r="F926" s="3">
        <v>43070</v>
      </c>
      <c r="G926">
        <v>16892</v>
      </c>
      <c r="H926">
        <v>19594.7</v>
      </c>
      <c r="I926">
        <v>3</v>
      </c>
    </row>
    <row r="927" spans="1:9" x14ac:dyDescent="0.2">
      <c r="A927" t="s">
        <v>41</v>
      </c>
      <c r="B927" t="s">
        <v>10</v>
      </c>
      <c r="C927" s="3">
        <v>43069</v>
      </c>
      <c r="D927" s="3">
        <v>43069</v>
      </c>
      <c r="E927" s="3">
        <v>43077</v>
      </c>
      <c r="G927">
        <v>2251.34</v>
      </c>
      <c r="H927">
        <v>2611.6</v>
      </c>
      <c r="I927" t="s">
        <v>56</v>
      </c>
    </row>
    <row r="928" spans="1:9" x14ac:dyDescent="0.2">
      <c r="A928" t="s">
        <v>41</v>
      </c>
      <c r="B928" t="s">
        <v>10</v>
      </c>
      <c r="C928" s="3">
        <v>43069</v>
      </c>
      <c r="D928" s="3">
        <v>43069</v>
      </c>
      <c r="E928" s="3">
        <v>43077</v>
      </c>
      <c r="G928">
        <v>43645.9</v>
      </c>
      <c r="H928">
        <v>50629.2</v>
      </c>
      <c r="I928" t="s">
        <v>56</v>
      </c>
    </row>
    <row r="929" spans="1:9" x14ac:dyDescent="0.2">
      <c r="A929" t="s">
        <v>18</v>
      </c>
      <c r="B929" t="s">
        <v>10</v>
      </c>
      <c r="C929" s="3">
        <v>43069</v>
      </c>
      <c r="D929" s="3">
        <v>43069</v>
      </c>
      <c r="E929" s="3">
        <v>43099</v>
      </c>
      <c r="G929">
        <v>1824</v>
      </c>
      <c r="H929">
        <v>2115.84</v>
      </c>
      <c r="I929" t="s">
        <v>56</v>
      </c>
    </row>
    <row r="930" spans="1:9" x14ac:dyDescent="0.2">
      <c r="A930" t="s">
        <v>18</v>
      </c>
      <c r="B930" t="s">
        <v>10</v>
      </c>
      <c r="C930" s="3">
        <v>43069</v>
      </c>
      <c r="D930" s="3">
        <v>43069</v>
      </c>
      <c r="E930" s="3">
        <v>43099</v>
      </c>
      <c r="G930">
        <v>16336</v>
      </c>
      <c r="H930">
        <v>18949.7</v>
      </c>
      <c r="I930" t="s">
        <v>56</v>
      </c>
    </row>
    <row r="931" spans="1:9" x14ac:dyDescent="0.2">
      <c r="A931" t="s">
        <v>41</v>
      </c>
      <c r="B931" t="s">
        <v>10</v>
      </c>
      <c r="C931" s="3">
        <v>43069</v>
      </c>
      <c r="D931" s="3">
        <v>43069</v>
      </c>
      <c r="E931" s="3">
        <v>43077</v>
      </c>
      <c r="G931">
        <v>1385.7</v>
      </c>
      <c r="H931">
        <v>1607.36</v>
      </c>
      <c r="I931" t="s">
        <v>56</v>
      </c>
    </row>
    <row r="932" spans="1:9" x14ac:dyDescent="0.2">
      <c r="A932" t="s">
        <v>18</v>
      </c>
      <c r="B932" t="s">
        <v>10</v>
      </c>
      <c r="C932" s="3">
        <v>43069</v>
      </c>
      <c r="D932" s="3">
        <v>43068</v>
      </c>
      <c r="E932" s="3">
        <v>43099</v>
      </c>
      <c r="G932">
        <v>5310</v>
      </c>
      <c r="H932">
        <v>6159.6</v>
      </c>
      <c r="I932" t="s">
        <v>56</v>
      </c>
    </row>
    <row r="933" spans="1:9" x14ac:dyDescent="0.2">
      <c r="A933" t="s">
        <v>18</v>
      </c>
      <c r="B933" t="s">
        <v>10</v>
      </c>
      <c r="C933" s="3">
        <v>43068</v>
      </c>
      <c r="D933" s="3">
        <v>43068</v>
      </c>
      <c r="E933" s="3">
        <v>43098</v>
      </c>
      <c r="G933">
        <v>23650</v>
      </c>
      <c r="H933">
        <v>27434</v>
      </c>
      <c r="I933" t="s">
        <v>56</v>
      </c>
    </row>
    <row r="934" spans="1:9" x14ac:dyDescent="0.2">
      <c r="A934" t="s">
        <v>18</v>
      </c>
      <c r="B934" t="s">
        <v>10</v>
      </c>
      <c r="C934" s="3">
        <v>43068</v>
      </c>
      <c r="D934" s="3">
        <v>43068</v>
      </c>
      <c r="E934" s="3">
        <v>43098</v>
      </c>
      <c r="G934">
        <v>6080</v>
      </c>
      <c r="H934">
        <v>7052.8</v>
      </c>
      <c r="I934" t="s">
        <v>56</v>
      </c>
    </row>
    <row r="935" spans="1:9" x14ac:dyDescent="0.2">
      <c r="A935" t="s">
        <v>25</v>
      </c>
      <c r="B935" t="s">
        <v>10</v>
      </c>
      <c r="C935" s="3">
        <v>43066</v>
      </c>
      <c r="D935" s="3">
        <v>43066</v>
      </c>
      <c r="E935" s="3">
        <v>43096</v>
      </c>
      <c r="G935">
        <v>13471</v>
      </c>
      <c r="H935">
        <v>15626.3</v>
      </c>
      <c r="I935" t="s">
        <v>56</v>
      </c>
    </row>
    <row r="936" spans="1:9" x14ac:dyDescent="0.2">
      <c r="A936" t="s">
        <v>18</v>
      </c>
      <c r="B936" t="s">
        <v>10</v>
      </c>
      <c r="C936" s="3">
        <v>43066</v>
      </c>
      <c r="D936" s="3">
        <v>43066</v>
      </c>
      <c r="E936" s="3">
        <v>43096</v>
      </c>
      <c r="G936">
        <v>16892</v>
      </c>
      <c r="H936">
        <v>19594.7</v>
      </c>
      <c r="I936" t="s">
        <v>56</v>
      </c>
    </row>
    <row r="937" spans="1:9" x14ac:dyDescent="0.2">
      <c r="A937" t="s">
        <v>18</v>
      </c>
      <c r="B937" t="s">
        <v>10</v>
      </c>
      <c r="C937" s="3">
        <v>43063</v>
      </c>
      <c r="D937" s="3">
        <v>43063</v>
      </c>
      <c r="E937" s="3">
        <v>43093</v>
      </c>
      <c r="G937">
        <v>13434</v>
      </c>
      <c r="H937">
        <v>15583.4</v>
      </c>
      <c r="I937" t="s">
        <v>56</v>
      </c>
    </row>
    <row r="938" spans="1:9" x14ac:dyDescent="0.2">
      <c r="A938" t="s">
        <v>41</v>
      </c>
      <c r="B938" t="s">
        <v>10</v>
      </c>
      <c r="C938" s="3">
        <v>43062</v>
      </c>
      <c r="D938" s="3">
        <v>43062</v>
      </c>
      <c r="E938" s="3">
        <v>43070</v>
      </c>
      <c r="G938">
        <v>15110.5</v>
      </c>
      <c r="H938">
        <v>17528.2</v>
      </c>
      <c r="I938" t="s">
        <v>56</v>
      </c>
    </row>
    <row r="939" spans="1:9" x14ac:dyDescent="0.2">
      <c r="A939" t="s">
        <v>46</v>
      </c>
      <c r="B939" t="s">
        <v>10</v>
      </c>
      <c r="C939" s="3">
        <v>43062</v>
      </c>
      <c r="D939" s="3">
        <v>43062</v>
      </c>
      <c r="E939" s="3">
        <v>43069</v>
      </c>
      <c r="G939">
        <v>1129.2</v>
      </c>
      <c r="H939">
        <v>1309.8699999999999</v>
      </c>
      <c r="I939" t="s">
        <v>56</v>
      </c>
    </row>
    <row r="940" spans="1:9" x14ac:dyDescent="0.2">
      <c r="A940" t="s">
        <v>41</v>
      </c>
      <c r="B940" t="s">
        <v>10</v>
      </c>
      <c r="C940" s="3">
        <v>43061</v>
      </c>
      <c r="D940" s="3">
        <v>43061</v>
      </c>
      <c r="E940" s="3">
        <v>43069</v>
      </c>
      <c r="G940">
        <v>48515</v>
      </c>
      <c r="H940">
        <v>56277.3</v>
      </c>
      <c r="I940" t="s">
        <v>56</v>
      </c>
    </row>
    <row r="941" spans="1:9" x14ac:dyDescent="0.2">
      <c r="A941" t="s">
        <v>41</v>
      </c>
      <c r="B941" t="s">
        <v>10</v>
      </c>
      <c r="C941" s="3">
        <v>43060</v>
      </c>
      <c r="D941" s="3">
        <v>43060</v>
      </c>
      <c r="E941" s="3">
        <v>43068</v>
      </c>
      <c r="G941">
        <v>7129.85</v>
      </c>
      <c r="H941">
        <v>8270.5499999999993</v>
      </c>
      <c r="I941" t="s">
        <v>56</v>
      </c>
    </row>
    <row r="942" spans="1:9" x14ac:dyDescent="0.2">
      <c r="A942" t="s">
        <v>41</v>
      </c>
      <c r="B942" t="s">
        <v>14</v>
      </c>
      <c r="C942" s="3">
        <v>43060</v>
      </c>
      <c r="D942" s="3">
        <v>43060</v>
      </c>
      <c r="E942" s="3">
        <v>43068</v>
      </c>
      <c r="F942" s="3">
        <v>43060</v>
      </c>
      <c r="G942">
        <v>372.9</v>
      </c>
      <c r="H942">
        <v>432.56</v>
      </c>
      <c r="I942">
        <v>3</v>
      </c>
    </row>
    <row r="943" spans="1:9" x14ac:dyDescent="0.2">
      <c r="A943" t="s">
        <v>18</v>
      </c>
      <c r="B943" t="s">
        <v>10</v>
      </c>
      <c r="C943" s="3">
        <v>43060</v>
      </c>
      <c r="D943" s="3">
        <v>43060</v>
      </c>
      <c r="E943" s="3">
        <v>43090</v>
      </c>
      <c r="G943">
        <v>14740</v>
      </c>
      <c r="H943">
        <v>17098.400000000001</v>
      </c>
      <c r="I943" t="s">
        <v>56</v>
      </c>
    </row>
    <row r="944" spans="1:9" x14ac:dyDescent="0.2">
      <c r="A944" t="s">
        <v>22</v>
      </c>
      <c r="B944" t="s">
        <v>10</v>
      </c>
      <c r="C944" s="3">
        <v>43060</v>
      </c>
      <c r="D944" s="3">
        <v>43060</v>
      </c>
      <c r="E944" s="3">
        <v>43090</v>
      </c>
      <c r="G944">
        <v>156688</v>
      </c>
      <c r="H944">
        <v>181758</v>
      </c>
      <c r="I944" t="s">
        <v>56</v>
      </c>
    </row>
    <row r="945" spans="1:9" x14ac:dyDescent="0.2">
      <c r="A945" t="s">
        <v>22</v>
      </c>
      <c r="B945" t="s">
        <v>10</v>
      </c>
      <c r="C945" s="3">
        <v>43060</v>
      </c>
      <c r="D945" s="3">
        <v>43060</v>
      </c>
      <c r="E945" s="3">
        <v>43090</v>
      </c>
      <c r="G945">
        <v>4720</v>
      </c>
      <c r="H945">
        <v>5475.2</v>
      </c>
      <c r="I945" t="s">
        <v>56</v>
      </c>
    </row>
    <row r="946" spans="1:9" x14ac:dyDescent="0.2">
      <c r="A946" t="s">
        <v>46</v>
      </c>
      <c r="B946" t="s">
        <v>10</v>
      </c>
      <c r="C946" s="3">
        <v>43060</v>
      </c>
      <c r="D946" s="3">
        <v>43060</v>
      </c>
      <c r="E946" s="3">
        <v>43067</v>
      </c>
      <c r="G946">
        <v>30553.7</v>
      </c>
      <c r="H946">
        <v>35442.300000000003</v>
      </c>
      <c r="I946" t="s">
        <v>56</v>
      </c>
    </row>
    <row r="947" spans="1:9" x14ac:dyDescent="0.2">
      <c r="A947" t="s">
        <v>41</v>
      </c>
      <c r="B947" t="s">
        <v>10</v>
      </c>
      <c r="C947" s="3">
        <v>43060</v>
      </c>
      <c r="D947" s="3">
        <v>43060</v>
      </c>
      <c r="E947" s="3">
        <v>43068</v>
      </c>
      <c r="G947">
        <v>1425.97</v>
      </c>
      <c r="H947">
        <v>1654.07</v>
      </c>
      <c r="I947" t="s">
        <v>56</v>
      </c>
    </row>
    <row r="948" spans="1:9" x14ac:dyDescent="0.2">
      <c r="A948" t="s">
        <v>41</v>
      </c>
      <c r="B948" t="s">
        <v>14</v>
      </c>
      <c r="C948" s="3">
        <v>43060</v>
      </c>
      <c r="D948" s="3">
        <v>43060</v>
      </c>
      <c r="E948" s="3">
        <v>43068</v>
      </c>
      <c r="F948" s="3">
        <v>43060</v>
      </c>
      <c r="G948">
        <v>74.58</v>
      </c>
      <c r="H948">
        <v>86.51</v>
      </c>
      <c r="I948">
        <v>3</v>
      </c>
    </row>
    <row r="949" spans="1:9" x14ac:dyDescent="0.2">
      <c r="A949" t="s">
        <v>41</v>
      </c>
      <c r="B949" t="s">
        <v>10</v>
      </c>
      <c r="C949" s="3">
        <v>43056</v>
      </c>
      <c r="D949" s="3">
        <v>43056</v>
      </c>
      <c r="E949" s="3">
        <v>43064</v>
      </c>
      <c r="G949">
        <v>43320.7</v>
      </c>
      <c r="H949">
        <v>50252</v>
      </c>
      <c r="I949" t="s">
        <v>56</v>
      </c>
    </row>
    <row r="950" spans="1:9" x14ac:dyDescent="0.2">
      <c r="A950" t="s">
        <v>13</v>
      </c>
      <c r="B950" t="s">
        <v>10</v>
      </c>
      <c r="C950" s="3">
        <v>43052</v>
      </c>
      <c r="D950" s="3">
        <v>43052</v>
      </c>
      <c r="E950" s="3">
        <v>43082</v>
      </c>
      <c r="G950">
        <v>14090</v>
      </c>
      <c r="H950">
        <v>16344.4</v>
      </c>
      <c r="I950" t="s">
        <v>56</v>
      </c>
    </row>
    <row r="951" spans="1:9" x14ac:dyDescent="0.2">
      <c r="A951" t="s">
        <v>13</v>
      </c>
      <c r="B951" t="s">
        <v>10</v>
      </c>
      <c r="C951" s="3">
        <v>43052</v>
      </c>
      <c r="D951" s="3">
        <v>43052</v>
      </c>
      <c r="E951" s="3">
        <v>43082</v>
      </c>
      <c r="G951">
        <v>19002</v>
      </c>
      <c r="H951">
        <v>22042.3</v>
      </c>
      <c r="I951" t="s">
        <v>56</v>
      </c>
    </row>
    <row r="952" spans="1:9" x14ac:dyDescent="0.2">
      <c r="A952" t="s">
        <v>25</v>
      </c>
      <c r="B952" t="s">
        <v>10</v>
      </c>
      <c r="C952" s="3">
        <v>43048</v>
      </c>
      <c r="D952" s="3">
        <v>43048</v>
      </c>
      <c r="E952" s="3">
        <v>43078</v>
      </c>
      <c r="G952">
        <v>1057</v>
      </c>
      <c r="H952">
        <v>1226.1199999999999</v>
      </c>
      <c r="I952" t="s">
        <v>56</v>
      </c>
    </row>
    <row r="953" spans="1:9" x14ac:dyDescent="0.2">
      <c r="A953" t="s">
        <v>41</v>
      </c>
      <c r="B953" t="s">
        <v>10</v>
      </c>
      <c r="C953" s="3">
        <v>43048</v>
      </c>
      <c r="D953" s="3">
        <v>43048</v>
      </c>
      <c r="E953" s="3">
        <v>43056</v>
      </c>
      <c r="G953">
        <v>8498.89</v>
      </c>
      <c r="H953">
        <v>9858.65</v>
      </c>
      <c r="I953" t="s">
        <v>56</v>
      </c>
    </row>
    <row r="954" spans="1:9" x14ac:dyDescent="0.2">
      <c r="A954" t="s">
        <v>41</v>
      </c>
      <c r="B954" t="s">
        <v>10</v>
      </c>
      <c r="C954" s="3">
        <v>43046</v>
      </c>
      <c r="D954" s="3">
        <v>43046</v>
      </c>
      <c r="E954" s="3">
        <v>43054</v>
      </c>
      <c r="G954">
        <v>10395.9</v>
      </c>
      <c r="H954">
        <v>12059.3</v>
      </c>
      <c r="I954" t="s">
        <v>56</v>
      </c>
    </row>
    <row r="955" spans="1:9" x14ac:dyDescent="0.2">
      <c r="A955" t="s">
        <v>41</v>
      </c>
      <c r="B955" t="s">
        <v>10</v>
      </c>
      <c r="C955" s="3">
        <v>43045</v>
      </c>
      <c r="D955" s="3">
        <v>43045</v>
      </c>
      <c r="E955" s="3">
        <v>43053</v>
      </c>
      <c r="G955">
        <v>7129.85</v>
      </c>
      <c r="H955">
        <v>8270.5499999999993</v>
      </c>
      <c r="I955" t="s">
        <v>56</v>
      </c>
    </row>
    <row r="956" spans="1:9" x14ac:dyDescent="0.2">
      <c r="A956" t="s">
        <v>46</v>
      </c>
      <c r="B956" t="s">
        <v>10</v>
      </c>
      <c r="C956" s="3">
        <v>43039</v>
      </c>
      <c r="D956" s="3">
        <v>43039</v>
      </c>
      <c r="E956" s="3">
        <v>43046</v>
      </c>
      <c r="G956">
        <v>30448.5</v>
      </c>
      <c r="H956">
        <v>35320.199999999997</v>
      </c>
      <c r="I956" t="s">
        <v>56</v>
      </c>
    </row>
    <row r="957" spans="1:9" x14ac:dyDescent="0.2">
      <c r="A957" t="s">
        <v>41</v>
      </c>
      <c r="B957" t="s">
        <v>10</v>
      </c>
      <c r="C957" s="3">
        <v>43034</v>
      </c>
      <c r="D957" s="3">
        <v>43034</v>
      </c>
      <c r="E957" s="3">
        <v>43042</v>
      </c>
      <c r="G957">
        <v>4451.8999999999996</v>
      </c>
      <c r="H957">
        <v>5164.22</v>
      </c>
      <c r="I957" t="s">
        <v>56</v>
      </c>
    </row>
    <row r="958" spans="1:9" x14ac:dyDescent="0.2">
      <c r="A958" t="s">
        <v>46</v>
      </c>
      <c r="B958" t="s">
        <v>10</v>
      </c>
      <c r="C958" s="3">
        <v>43034</v>
      </c>
      <c r="D958" s="3">
        <v>43034</v>
      </c>
      <c r="E958" s="3">
        <v>43041</v>
      </c>
      <c r="G958">
        <v>14325.6</v>
      </c>
      <c r="H958">
        <v>16617.7</v>
      </c>
      <c r="I958" t="s">
        <v>56</v>
      </c>
    </row>
    <row r="959" spans="1:9" x14ac:dyDescent="0.2">
      <c r="A959" t="s">
        <v>46</v>
      </c>
      <c r="B959" t="s">
        <v>14</v>
      </c>
      <c r="C959" s="3">
        <v>43033</v>
      </c>
      <c r="D959" s="3">
        <v>43033</v>
      </c>
      <c r="E959" s="3">
        <v>43040</v>
      </c>
      <c r="F959" s="3">
        <v>43034</v>
      </c>
      <c r="G959">
        <v>14325.6</v>
      </c>
      <c r="H959">
        <v>16617.7</v>
      </c>
      <c r="I959">
        <v>3</v>
      </c>
    </row>
    <row r="960" spans="1:9" x14ac:dyDescent="0.2">
      <c r="A960" t="s">
        <v>25</v>
      </c>
      <c r="B960" t="s">
        <v>10</v>
      </c>
      <c r="C960" s="3">
        <v>43033</v>
      </c>
      <c r="D960" s="3">
        <v>43033</v>
      </c>
      <c r="E960" s="3">
        <v>43063</v>
      </c>
      <c r="G960">
        <v>10600</v>
      </c>
      <c r="H960">
        <v>12296</v>
      </c>
      <c r="I960" t="s">
        <v>56</v>
      </c>
    </row>
    <row r="961" spans="1:9" x14ac:dyDescent="0.2">
      <c r="A961" t="s">
        <v>20</v>
      </c>
      <c r="B961" t="s">
        <v>10</v>
      </c>
      <c r="C961" s="3">
        <v>43032</v>
      </c>
      <c r="D961" s="3">
        <v>43032</v>
      </c>
      <c r="E961" s="3">
        <v>43077</v>
      </c>
      <c r="G961">
        <v>12216.6</v>
      </c>
      <c r="H961">
        <v>14171.3</v>
      </c>
      <c r="I961" t="s">
        <v>56</v>
      </c>
    </row>
    <row r="962" spans="1:9" x14ac:dyDescent="0.2">
      <c r="A962" t="s">
        <v>25</v>
      </c>
      <c r="B962" t="s">
        <v>10</v>
      </c>
      <c r="C962" s="3">
        <v>43032</v>
      </c>
      <c r="D962" s="3">
        <v>43032</v>
      </c>
      <c r="E962" s="3">
        <v>43062</v>
      </c>
      <c r="G962">
        <v>10660</v>
      </c>
      <c r="H962">
        <v>12365.6</v>
      </c>
      <c r="I962" t="s">
        <v>56</v>
      </c>
    </row>
    <row r="963" spans="1:9" x14ac:dyDescent="0.2">
      <c r="A963" t="s">
        <v>41</v>
      </c>
      <c r="B963" t="s">
        <v>10</v>
      </c>
      <c r="C963" s="3">
        <v>43032</v>
      </c>
      <c r="D963" s="3">
        <v>43032</v>
      </c>
      <c r="E963" s="3">
        <v>43040</v>
      </c>
      <c r="G963">
        <v>21196.7</v>
      </c>
      <c r="H963">
        <v>24588.2</v>
      </c>
      <c r="I963" t="s">
        <v>56</v>
      </c>
    </row>
    <row r="964" spans="1:9" x14ac:dyDescent="0.2">
      <c r="A964" t="s">
        <v>41</v>
      </c>
      <c r="B964" t="s">
        <v>10</v>
      </c>
      <c r="C964" s="3">
        <v>43032</v>
      </c>
      <c r="D964" s="3">
        <v>43032</v>
      </c>
      <c r="E964" s="3">
        <v>43040</v>
      </c>
      <c r="G964">
        <v>2382.52</v>
      </c>
      <c r="H964">
        <v>2763.72</v>
      </c>
      <c r="I964" t="s">
        <v>56</v>
      </c>
    </row>
    <row r="965" spans="1:9" x14ac:dyDescent="0.2">
      <c r="A965" t="s">
        <v>41</v>
      </c>
      <c r="B965" t="s">
        <v>10</v>
      </c>
      <c r="C965" s="3">
        <v>43032</v>
      </c>
      <c r="D965" s="3">
        <v>43032</v>
      </c>
      <c r="E965" s="3">
        <v>43040</v>
      </c>
      <c r="G965">
        <v>2446.2199999999998</v>
      </c>
      <c r="H965">
        <v>2837.68</v>
      </c>
      <c r="I965" t="s">
        <v>56</v>
      </c>
    </row>
    <row r="966" spans="1:9" x14ac:dyDescent="0.2">
      <c r="A966" t="s">
        <v>41</v>
      </c>
      <c r="B966" t="s">
        <v>10</v>
      </c>
      <c r="C966" s="3">
        <v>43032</v>
      </c>
      <c r="D966" s="3">
        <v>43032</v>
      </c>
      <c r="E966" s="3">
        <v>43040</v>
      </c>
      <c r="G966">
        <v>3553.83</v>
      </c>
      <c r="H966">
        <v>4122.41</v>
      </c>
      <c r="I966" t="s">
        <v>56</v>
      </c>
    </row>
    <row r="967" spans="1:9" x14ac:dyDescent="0.2">
      <c r="A967" t="s">
        <v>41</v>
      </c>
      <c r="B967" t="s">
        <v>10</v>
      </c>
      <c r="C967" s="3">
        <v>43032</v>
      </c>
      <c r="D967" s="3">
        <v>43032</v>
      </c>
      <c r="E967" s="3">
        <v>43040</v>
      </c>
      <c r="G967">
        <v>21387.200000000001</v>
      </c>
      <c r="H967">
        <v>24809.1</v>
      </c>
      <c r="I967" t="s">
        <v>56</v>
      </c>
    </row>
    <row r="968" spans="1:9" x14ac:dyDescent="0.2">
      <c r="A968" t="s">
        <v>18</v>
      </c>
      <c r="B968" t="s">
        <v>10</v>
      </c>
      <c r="C968" s="3">
        <v>43031</v>
      </c>
      <c r="D968" s="3">
        <v>43031</v>
      </c>
      <c r="E968" s="3">
        <v>43061</v>
      </c>
      <c r="G968">
        <v>3794</v>
      </c>
      <c r="H968">
        <v>4401.04</v>
      </c>
      <c r="I968" t="s">
        <v>56</v>
      </c>
    </row>
    <row r="969" spans="1:9" x14ac:dyDescent="0.2">
      <c r="A969" t="s">
        <v>18</v>
      </c>
      <c r="B969" t="s">
        <v>10</v>
      </c>
      <c r="C969" s="3">
        <v>43028</v>
      </c>
      <c r="D969" s="3">
        <v>43028</v>
      </c>
      <c r="E969" s="3">
        <v>43058</v>
      </c>
      <c r="G969">
        <v>40500</v>
      </c>
      <c r="H969">
        <v>46980</v>
      </c>
      <c r="I969" t="s">
        <v>56</v>
      </c>
    </row>
    <row r="970" spans="1:9" x14ac:dyDescent="0.2">
      <c r="A970" t="s">
        <v>25</v>
      </c>
      <c r="B970" t="s">
        <v>10</v>
      </c>
      <c r="C970" s="3">
        <v>43026</v>
      </c>
      <c r="D970" s="3">
        <v>43026</v>
      </c>
      <c r="E970" s="3">
        <v>43056</v>
      </c>
      <c r="G970">
        <v>5808</v>
      </c>
      <c r="H970">
        <v>6737.28</v>
      </c>
      <c r="I970" t="s">
        <v>56</v>
      </c>
    </row>
    <row r="971" spans="1:9" x14ac:dyDescent="0.2">
      <c r="A971" t="s">
        <v>18</v>
      </c>
      <c r="B971" t="s">
        <v>10</v>
      </c>
      <c r="C971" s="3">
        <v>43025</v>
      </c>
      <c r="D971" s="3">
        <v>43025</v>
      </c>
      <c r="E971" s="3">
        <v>43055</v>
      </c>
      <c r="G971">
        <v>14740</v>
      </c>
      <c r="H971">
        <v>17098.400000000001</v>
      </c>
      <c r="I971" t="s">
        <v>56</v>
      </c>
    </row>
    <row r="972" spans="1:9" x14ac:dyDescent="0.2">
      <c r="A972" t="s">
        <v>46</v>
      </c>
      <c r="B972" t="s">
        <v>14</v>
      </c>
      <c r="C972" s="3">
        <v>43025</v>
      </c>
      <c r="D972" s="3">
        <v>43025</v>
      </c>
      <c r="E972" s="3">
        <v>43032</v>
      </c>
      <c r="F972" s="3">
        <v>43039</v>
      </c>
      <c r="G972">
        <v>17766</v>
      </c>
      <c r="H972">
        <v>20608.5</v>
      </c>
      <c r="I972">
        <v>3</v>
      </c>
    </row>
    <row r="973" spans="1:9" x14ac:dyDescent="0.2">
      <c r="A973" t="s">
        <v>41</v>
      </c>
      <c r="B973" t="s">
        <v>10</v>
      </c>
      <c r="C973" s="3">
        <v>43024</v>
      </c>
      <c r="D973" s="3">
        <v>43024</v>
      </c>
      <c r="E973" s="3">
        <v>43032</v>
      </c>
      <c r="G973">
        <v>6955.08</v>
      </c>
      <c r="H973">
        <v>8067.93</v>
      </c>
      <c r="I973" t="s">
        <v>56</v>
      </c>
    </row>
    <row r="974" spans="1:9" x14ac:dyDescent="0.2">
      <c r="A974" t="s">
        <v>25</v>
      </c>
      <c r="B974" t="s">
        <v>10</v>
      </c>
      <c r="C974" s="3">
        <v>43020</v>
      </c>
      <c r="D974" s="3">
        <v>43020</v>
      </c>
      <c r="E974" s="3">
        <v>43050</v>
      </c>
      <c r="G974">
        <v>5080.91</v>
      </c>
      <c r="H974">
        <v>5893.86</v>
      </c>
      <c r="I974" t="s">
        <v>56</v>
      </c>
    </row>
    <row r="975" spans="1:9" x14ac:dyDescent="0.2">
      <c r="A975" t="s">
        <v>18</v>
      </c>
      <c r="B975" t="s">
        <v>10</v>
      </c>
      <c r="C975" s="3">
        <v>43019</v>
      </c>
      <c r="D975" s="3">
        <v>43019</v>
      </c>
      <c r="E975" s="3">
        <v>43049</v>
      </c>
      <c r="G975">
        <v>4200</v>
      </c>
      <c r="H975">
        <v>4872</v>
      </c>
      <c r="I975" t="s">
        <v>56</v>
      </c>
    </row>
    <row r="976" spans="1:9" x14ac:dyDescent="0.2">
      <c r="A976" t="s">
        <v>46</v>
      </c>
      <c r="B976" t="s">
        <v>14</v>
      </c>
      <c r="C976" s="3">
        <v>43019</v>
      </c>
      <c r="D976" s="3">
        <v>43019</v>
      </c>
      <c r="E976" s="3">
        <v>43026</v>
      </c>
      <c r="F976" s="3">
        <v>43039</v>
      </c>
      <c r="G976">
        <v>25116.3</v>
      </c>
      <c r="H976">
        <v>29134.9</v>
      </c>
      <c r="I976">
        <v>3</v>
      </c>
    </row>
    <row r="977" spans="1:9" x14ac:dyDescent="0.2">
      <c r="A977" t="s">
        <v>57</v>
      </c>
      <c r="B977" t="s">
        <v>10</v>
      </c>
      <c r="C977" s="3">
        <v>43018</v>
      </c>
      <c r="D977" s="3">
        <v>43018</v>
      </c>
      <c r="E977" s="3">
        <v>43033</v>
      </c>
      <c r="G977">
        <v>26360</v>
      </c>
      <c r="H977">
        <v>30577.599999999999</v>
      </c>
      <c r="I977" t="s">
        <v>56</v>
      </c>
    </row>
    <row r="978" spans="1:9" x14ac:dyDescent="0.2">
      <c r="A978" t="s">
        <v>18</v>
      </c>
      <c r="B978" t="s">
        <v>10</v>
      </c>
      <c r="C978" s="3">
        <v>43018</v>
      </c>
      <c r="D978" s="3">
        <v>43018</v>
      </c>
      <c r="E978" s="3">
        <v>43048</v>
      </c>
      <c r="G978">
        <v>14480</v>
      </c>
      <c r="H978">
        <v>16796.8</v>
      </c>
      <c r="I978" t="s">
        <v>56</v>
      </c>
    </row>
    <row r="979" spans="1:9" x14ac:dyDescent="0.2">
      <c r="A979" t="s">
        <v>18</v>
      </c>
      <c r="B979" t="s">
        <v>10</v>
      </c>
      <c r="C979" s="3">
        <v>43017</v>
      </c>
      <c r="D979" s="3">
        <v>43017</v>
      </c>
      <c r="E979" s="3">
        <v>43047</v>
      </c>
      <c r="G979">
        <v>8326</v>
      </c>
      <c r="H979">
        <v>9658.16</v>
      </c>
      <c r="I979" t="s">
        <v>56</v>
      </c>
    </row>
    <row r="980" spans="1:9" x14ac:dyDescent="0.2">
      <c r="A980" t="s">
        <v>18</v>
      </c>
      <c r="B980" t="s">
        <v>10</v>
      </c>
      <c r="C980" s="3">
        <v>43017</v>
      </c>
      <c r="D980" s="3">
        <v>43017</v>
      </c>
      <c r="E980" s="3">
        <v>43047</v>
      </c>
      <c r="G980">
        <v>8266</v>
      </c>
      <c r="H980">
        <v>9588.56</v>
      </c>
      <c r="I980" t="s">
        <v>56</v>
      </c>
    </row>
    <row r="981" spans="1:9" x14ac:dyDescent="0.2">
      <c r="A981" t="s">
        <v>18</v>
      </c>
      <c r="B981" t="s">
        <v>10</v>
      </c>
      <c r="C981" s="3">
        <v>43017</v>
      </c>
      <c r="D981" s="3">
        <v>43017</v>
      </c>
      <c r="E981" s="3">
        <v>43047</v>
      </c>
      <c r="G981">
        <v>8312</v>
      </c>
      <c r="H981">
        <v>9641.92</v>
      </c>
      <c r="I981" t="s">
        <v>56</v>
      </c>
    </row>
    <row r="982" spans="1:9" x14ac:dyDescent="0.2">
      <c r="A982" t="s">
        <v>18</v>
      </c>
      <c r="B982" t="s">
        <v>14</v>
      </c>
      <c r="C982" s="3">
        <v>43017</v>
      </c>
      <c r="D982" s="3">
        <v>43017</v>
      </c>
      <c r="E982" s="3">
        <v>43047</v>
      </c>
      <c r="F982" s="3">
        <v>43017</v>
      </c>
      <c r="G982">
        <v>8312</v>
      </c>
      <c r="H982">
        <v>9641.92</v>
      </c>
      <c r="I982">
        <v>3</v>
      </c>
    </row>
    <row r="983" spans="1:9" x14ac:dyDescent="0.2">
      <c r="A983" t="s">
        <v>41</v>
      </c>
      <c r="B983" t="s">
        <v>10</v>
      </c>
      <c r="C983" s="3">
        <v>43017</v>
      </c>
      <c r="D983" s="3">
        <v>43017</v>
      </c>
      <c r="E983" s="3">
        <v>43025</v>
      </c>
      <c r="G983">
        <v>20152.7</v>
      </c>
      <c r="H983">
        <v>23377.1</v>
      </c>
      <c r="I983" t="s">
        <v>56</v>
      </c>
    </row>
    <row r="984" spans="1:9" x14ac:dyDescent="0.2">
      <c r="A984" t="s">
        <v>39</v>
      </c>
      <c r="B984" t="s">
        <v>10</v>
      </c>
      <c r="C984" s="3">
        <v>43013</v>
      </c>
      <c r="D984" s="3">
        <v>43013</v>
      </c>
      <c r="E984" s="3">
        <v>43021</v>
      </c>
      <c r="G984">
        <v>2662</v>
      </c>
      <c r="H984">
        <v>3087.92</v>
      </c>
      <c r="I984" t="s">
        <v>56</v>
      </c>
    </row>
    <row r="985" spans="1:9" x14ac:dyDescent="0.2">
      <c r="A985" t="s">
        <v>39</v>
      </c>
      <c r="B985" t="s">
        <v>14</v>
      </c>
      <c r="C985" s="3">
        <v>43013</v>
      </c>
      <c r="D985" s="3">
        <v>43013</v>
      </c>
      <c r="E985" s="3">
        <v>43021</v>
      </c>
      <c r="F985" s="3">
        <v>43013</v>
      </c>
      <c r="G985">
        <v>2662</v>
      </c>
      <c r="H985">
        <v>3087.92</v>
      </c>
      <c r="I985">
        <v>3</v>
      </c>
    </row>
    <row r="986" spans="1:9" x14ac:dyDescent="0.2">
      <c r="A986" t="s">
        <v>39</v>
      </c>
      <c r="B986" t="s">
        <v>14</v>
      </c>
      <c r="C986" s="3">
        <v>43013</v>
      </c>
      <c r="D986" s="3">
        <v>43013</v>
      </c>
      <c r="E986" s="3">
        <v>43021</v>
      </c>
      <c r="F986" s="3">
        <v>43013</v>
      </c>
      <c r="G986">
        <v>2662</v>
      </c>
      <c r="H986">
        <v>3087.92</v>
      </c>
      <c r="I986">
        <v>3</v>
      </c>
    </row>
    <row r="987" spans="1:9" x14ac:dyDescent="0.2">
      <c r="A987" t="s">
        <v>18</v>
      </c>
      <c r="B987" t="s">
        <v>10</v>
      </c>
      <c r="C987" s="3">
        <v>43012</v>
      </c>
      <c r="D987" s="3">
        <v>43012</v>
      </c>
      <c r="E987" s="3">
        <v>43042</v>
      </c>
      <c r="G987">
        <v>12424.2</v>
      </c>
      <c r="H987">
        <v>14412.1</v>
      </c>
      <c r="I987" t="s">
        <v>56</v>
      </c>
    </row>
    <row r="988" spans="1:9" x14ac:dyDescent="0.2">
      <c r="A988" t="s">
        <v>18</v>
      </c>
      <c r="B988" t="s">
        <v>10</v>
      </c>
      <c r="C988" s="3">
        <v>43012</v>
      </c>
      <c r="D988" s="3">
        <v>43012</v>
      </c>
      <c r="E988" s="3">
        <v>43042</v>
      </c>
      <c r="G988">
        <v>4606</v>
      </c>
      <c r="H988">
        <v>5342.96</v>
      </c>
      <c r="I988" t="s">
        <v>56</v>
      </c>
    </row>
    <row r="989" spans="1:9" x14ac:dyDescent="0.2">
      <c r="A989" t="s">
        <v>18</v>
      </c>
      <c r="B989" t="s">
        <v>10</v>
      </c>
      <c r="C989" s="3">
        <v>43012</v>
      </c>
      <c r="D989" s="3">
        <v>43012</v>
      </c>
      <c r="E989" s="3">
        <v>43042</v>
      </c>
      <c r="G989">
        <v>7850.22</v>
      </c>
      <c r="H989">
        <v>9106.26</v>
      </c>
      <c r="I989" t="s">
        <v>56</v>
      </c>
    </row>
    <row r="990" spans="1:9" x14ac:dyDescent="0.2">
      <c r="A990" t="s">
        <v>30</v>
      </c>
      <c r="B990" t="s">
        <v>10</v>
      </c>
      <c r="C990" s="3">
        <v>43007</v>
      </c>
      <c r="D990" s="3">
        <v>43007</v>
      </c>
      <c r="E990" s="3">
        <v>43022</v>
      </c>
      <c r="G990">
        <v>350</v>
      </c>
      <c r="H990">
        <v>406</v>
      </c>
      <c r="I990" t="s">
        <v>58</v>
      </c>
    </row>
    <row r="991" spans="1:9" x14ac:dyDescent="0.2">
      <c r="A991" t="s">
        <v>26</v>
      </c>
      <c r="B991" t="s">
        <v>10</v>
      </c>
      <c r="C991" s="3">
        <v>43006</v>
      </c>
      <c r="D991" s="3">
        <v>43006</v>
      </c>
      <c r="E991" s="3">
        <v>43013</v>
      </c>
      <c r="G991">
        <v>24170.6</v>
      </c>
      <c r="H991">
        <v>28037.9</v>
      </c>
      <c r="I991" t="s">
        <v>56</v>
      </c>
    </row>
    <row r="992" spans="1:9" x14ac:dyDescent="0.2">
      <c r="A992" t="s">
        <v>41</v>
      </c>
      <c r="B992" t="s">
        <v>10</v>
      </c>
      <c r="C992" s="3">
        <v>43005</v>
      </c>
      <c r="D992" s="3">
        <v>43005</v>
      </c>
      <c r="E992" s="3">
        <v>43013</v>
      </c>
      <c r="G992">
        <v>7420.74</v>
      </c>
      <c r="H992">
        <v>8608.15</v>
      </c>
      <c r="I992" t="s">
        <v>56</v>
      </c>
    </row>
    <row r="993" spans="1:9" x14ac:dyDescent="0.2">
      <c r="A993" t="s">
        <v>26</v>
      </c>
      <c r="B993" t="s">
        <v>10</v>
      </c>
      <c r="C993" s="3">
        <v>43005</v>
      </c>
      <c r="D993" s="3">
        <v>43005</v>
      </c>
      <c r="E993" s="3">
        <v>43012</v>
      </c>
      <c r="G993">
        <v>2608</v>
      </c>
      <c r="H993">
        <v>3025.28</v>
      </c>
      <c r="I993" t="s">
        <v>56</v>
      </c>
    </row>
    <row r="994" spans="1:9" x14ac:dyDescent="0.2">
      <c r="A994" t="s">
        <v>17</v>
      </c>
      <c r="B994" t="s">
        <v>10</v>
      </c>
      <c r="C994" s="3">
        <v>43005</v>
      </c>
      <c r="D994" s="3">
        <v>43005</v>
      </c>
      <c r="E994" s="3">
        <v>43050</v>
      </c>
      <c r="G994">
        <v>34817.199999999997</v>
      </c>
      <c r="H994">
        <v>40388</v>
      </c>
      <c r="I994" t="s">
        <v>56</v>
      </c>
    </row>
    <row r="995" spans="1:9" x14ac:dyDescent="0.2">
      <c r="A995" t="s">
        <v>26</v>
      </c>
      <c r="B995" t="s">
        <v>14</v>
      </c>
      <c r="C995" s="3">
        <v>43004</v>
      </c>
      <c r="D995" s="3">
        <v>43004</v>
      </c>
      <c r="E995" s="3">
        <v>43011</v>
      </c>
      <c r="F995" s="3">
        <v>43005</v>
      </c>
      <c r="G995">
        <v>2608</v>
      </c>
      <c r="H995">
        <v>3025.28</v>
      </c>
      <c r="I995">
        <v>3</v>
      </c>
    </row>
    <row r="996" spans="1:9" x14ac:dyDescent="0.2">
      <c r="A996" t="s">
        <v>18</v>
      </c>
      <c r="B996" t="s">
        <v>10</v>
      </c>
      <c r="C996" s="3">
        <v>43003</v>
      </c>
      <c r="D996" s="3">
        <v>43003</v>
      </c>
      <c r="E996" s="3">
        <v>43033</v>
      </c>
      <c r="G996">
        <v>12206</v>
      </c>
      <c r="H996">
        <v>14158.9</v>
      </c>
      <c r="I996" t="s">
        <v>56</v>
      </c>
    </row>
    <row r="997" spans="1:9" x14ac:dyDescent="0.2">
      <c r="A997" t="s">
        <v>25</v>
      </c>
      <c r="B997" t="s">
        <v>10</v>
      </c>
      <c r="C997" s="3">
        <v>43003</v>
      </c>
      <c r="D997" s="3">
        <v>43003</v>
      </c>
      <c r="E997" s="3">
        <v>43033</v>
      </c>
      <c r="G997">
        <v>18776</v>
      </c>
      <c r="H997">
        <v>21780.1</v>
      </c>
      <c r="I997" t="s">
        <v>56</v>
      </c>
    </row>
    <row r="998" spans="1:9" x14ac:dyDescent="0.2">
      <c r="A998" t="s">
        <v>55</v>
      </c>
      <c r="B998" t="s">
        <v>10</v>
      </c>
      <c r="C998" s="3">
        <v>43003</v>
      </c>
      <c r="D998" s="3">
        <v>43003</v>
      </c>
      <c r="E998" s="3">
        <v>43011</v>
      </c>
      <c r="G998">
        <v>4572</v>
      </c>
      <c r="H998">
        <v>5303.52</v>
      </c>
      <c r="I998" t="s">
        <v>56</v>
      </c>
    </row>
    <row r="999" spans="1:9" x14ac:dyDescent="0.2">
      <c r="A999" t="s">
        <v>18</v>
      </c>
      <c r="B999" t="s">
        <v>14</v>
      </c>
      <c r="C999" s="3">
        <v>43000</v>
      </c>
      <c r="D999" s="3">
        <v>43000</v>
      </c>
      <c r="E999" s="3">
        <v>43030</v>
      </c>
      <c r="F999" s="3">
        <v>43003</v>
      </c>
      <c r="G999">
        <v>6856</v>
      </c>
      <c r="H999">
        <v>7952.96</v>
      </c>
      <c r="I999">
        <v>3</v>
      </c>
    </row>
    <row r="1000" spans="1:9" x14ac:dyDescent="0.2">
      <c r="A1000" t="s">
        <v>55</v>
      </c>
      <c r="B1000" t="s">
        <v>10</v>
      </c>
      <c r="C1000" s="3">
        <v>42999</v>
      </c>
      <c r="D1000" s="3">
        <v>42999</v>
      </c>
      <c r="E1000" s="3">
        <v>43007</v>
      </c>
      <c r="G1000">
        <v>1143</v>
      </c>
      <c r="H1000">
        <v>1325.88</v>
      </c>
    </row>
    <row r="1001" spans="1:9" x14ac:dyDescent="0.2">
      <c r="A1001" t="s">
        <v>55</v>
      </c>
      <c r="B1001" t="s">
        <v>10</v>
      </c>
      <c r="C1001" s="3">
        <v>42999</v>
      </c>
      <c r="D1001" s="3">
        <v>42999</v>
      </c>
      <c r="E1001" s="3">
        <v>43007</v>
      </c>
      <c r="G1001">
        <v>1905</v>
      </c>
      <c r="H1001">
        <v>2209.8000000000002</v>
      </c>
    </row>
    <row r="1002" spans="1:9" x14ac:dyDescent="0.2">
      <c r="A1002" t="s">
        <v>13</v>
      </c>
      <c r="B1002" t="s">
        <v>10</v>
      </c>
      <c r="C1002" s="3">
        <v>42998</v>
      </c>
      <c r="D1002" s="3">
        <v>42998</v>
      </c>
      <c r="E1002" s="3">
        <v>43028</v>
      </c>
      <c r="G1002">
        <v>5114</v>
      </c>
      <c r="H1002">
        <v>5932.24</v>
      </c>
      <c r="I1002" t="s">
        <v>56</v>
      </c>
    </row>
    <row r="1003" spans="1:9" x14ac:dyDescent="0.2">
      <c r="A1003" t="s">
        <v>41</v>
      </c>
      <c r="B1003" t="s">
        <v>10</v>
      </c>
      <c r="C1003" s="3">
        <v>42998</v>
      </c>
      <c r="D1003" s="3">
        <v>42998</v>
      </c>
      <c r="E1003" s="3">
        <v>43006</v>
      </c>
      <c r="G1003">
        <v>17425</v>
      </c>
      <c r="H1003">
        <v>20213</v>
      </c>
      <c r="I1003" t="s">
        <v>56</v>
      </c>
    </row>
    <row r="1004" spans="1:9" x14ac:dyDescent="0.2">
      <c r="A1004" t="s">
        <v>20</v>
      </c>
      <c r="B1004" t="s">
        <v>10</v>
      </c>
      <c r="C1004" s="3">
        <v>42997</v>
      </c>
      <c r="D1004" s="3">
        <v>42997</v>
      </c>
      <c r="E1004" s="3">
        <v>43042</v>
      </c>
      <c r="G1004">
        <v>14814.6</v>
      </c>
      <c r="H1004">
        <v>17185</v>
      </c>
      <c r="I1004" t="s">
        <v>56</v>
      </c>
    </row>
    <row r="1005" spans="1:9" x14ac:dyDescent="0.2">
      <c r="A1005" t="s">
        <v>18</v>
      </c>
      <c r="B1005" t="s">
        <v>10</v>
      </c>
      <c r="C1005" s="3">
        <v>42997</v>
      </c>
      <c r="D1005" s="3">
        <v>42996</v>
      </c>
      <c r="E1005" s="3">
        <v>43027</v>
      </c>
      <c r="G1005">
        <v>9839.2199999999993</v>
      </c>
      <c r="H1005">
        <v>11413.5</v>
      </c>
      <c r="I1005" t="s">
        <v>56</v>
      </c>
    </row>
    <row r="1006" spans="1:9" x14ac:dyDescent="0.2">
      <c r="A1006" t="s">
        <v>18</v>
      </c>
      <c r="B1006" t="s">
        <v>10</v>
      </c>
      <c r="C1006" s="3">
        <v>42997</v>
      </c>
      <c r="D1006" s="3">
        <v>42996</v>
      </c>
      <c r="E1006" s="3">
        <v>43027</v>
      </c>
      <c r="G1006">
        <v>11040.2</v>
      </c>
      <c r="H1006">
        <v>12806.6</v>
      </c>
      <c r="I1006" t="s">
        <v>56</v>
      </c>
    </row>
    <row r="1007" spans="1:9" x14ac:dyDescent="0.2">
      <c r="A1007" t="s">
        <v>18</v>
      </c>
      <c r="B1007" t="s">
        <v>10</v>
      </c>
      <c r="C1007" s="3">
        <v>42997</v>
      </c>
      <c r="D1007" s="3">
        <v>42996</v>
      </c>
      <c r="E1007" s="3">
        <v>43027</v>
      </c>
      <c r="G1007">
        <v>5738</v>
      </c>
      <c r="H1007">
        <v>6656.08</v>
      </c>
      <c r="I1007" t="s">
        <v>56</v>
      </c>
    </row>
    <row r="1008" spans="1:9" x14ac:dyDescent="0.2">
      <c r="A1008" t="s">
        <v>41</v>
      </c>
      <c r="B1008" t="s">
        <v>10</v>
      </c>
      <c r="C1008" s="3">
        <v>42997</v>
      </c>
      <c r="D1008" s="3">
        <v>42997</v>
      </c>
      <c r="E1008" s="3">
        <v>43005</v>
      </c>
      <c r="G1008">
        <v>85822.3</v>
      </c>
      <c r="H1008">
        <v>99553.8</v>
      </c>
      <c r="I1008" t="s">
        <v>56</v>
      </c>
    </row>
    <row r="1009" spans="1:9" x14ac:dyDescent="0.2">
      <c r="A1009" t="s">
        <v>41</v>
      </c>
      <c r="B1009" t="s">
        <v>10</v>
      </c>
      <c r="C1009" s="3">
        <v>42997</v>
      </c>
      <c r="D1009" s="3">
        <v>42997</v>
      </c>
      <c r="E1009" s="3">
        <v>43005</v>
      </c>
      <c r="G1009">
        <v>1061.4000000000001</v>
      </c>
      <c r="H1009">
        <v>1231.22</v>
      </c>
      <c r="I1009" t="s">
        <v>56</v>
      </c>
    </row>
    <row r="1010" spans="1:9" x14ac:dyDescent="0.2">
      <c r="A1010" t="s">
        <v>41</v>
      </c>
      <c r="B1010" t="s">
        <v>14</v>
      </c>
      <c r="C1010" s="3">
        <v>42997</v>
      </c>
      <c r="D1010" s="3">
        <v>42997</v>
      </c>
      <c r="E1010" s="3">
        <v>43005</v>
      </c>
      <c r="F1010" s="3">
        <v>42997</v>
      </c>
      <c r="G1010">
        <v>86512.2</v>
      </c>
      <c r="H1010">
        <v>100354</v>
      </c>
      <c r="I1010">
        <v>3</v>
      </c>
    </row>
    <row r="1011" spans="1:9" x14ac:dyDescent="0.2">
      <c r="A1011" t="s">
        <v>20</v>
      </c>
      <c r="B1011" t="s">
        <v>10</v>
      </c>
      <c r="C1011" s="3">
        <v>42997</v>
      </c>
      <c r="D1011" s="3">
        <v>42997</v>
      </c>
      <c r="E1011" s="3">
        <v>43042</v>
      </c>
      <c r="G1011">
        <v>5320</v>
      </c>
      <c r="H1011">
        <v>6171.2</v>
      </c>
      <c r="I1011" t="s">
        <v>56</v>
      </c>
    </row>
    <row r="1012" spans="1:9" x14ac:dyDescent="0.2">
      <c r="A1012" t="s">
        <v>22</v>
      </c>
      <c r="B1012" t="s">
        <v>10</v>
      </c>
      <c r="C1012" s="3">
        <v>42996</v>
      </c>
      <c r="D1012" s="3">
        <v>42996</v>
      </c>
      <c r="E1012" s="3">
        <v>43056</v>
      </c>
      <c r="G1012">
        <v>800</v>
      </c>
      <c r="H1012">
        <v>928</v>
      </c>
      <c r="I1012" t="s">
        <v>56</v>
      </c>
    </row>
    <row r="1013" spans="1:9" x14ac:dyDescent="0.2">
      <c r="A1013" t="s">
        <v>18</v>
      </c>
      <c r="B1013" t="s">
        <v>10</v>
      </c>
      <c r="C1013" s="3">
        <v>42996</v>
      </c>
      <c r="D1013" s="3">
        <v>42996</v>
      </c>
      <c r="E1013" s="3">
        <v>43026</v>
      </c>
      <c r="G1013">
        <v>4628</v>
      </c>
      <c r="H1013">
        <v>5368.48</v>
      </c>
      <c r="I1013" t="s">
        <v>56</v>
      </c>
    </row>
    <row r="1014" spans="1:9" x14ac:dyDescent="0.2">
      <c r="A1014" t="s">
        <v>18</v>
      </c>
      <c r="B1014" t="s">
        <v>10</v>
      </c>
      <c r="C1014" s="3">
        <v>42996</v>
      </c>
      <c r="D1014" s="3">
        <v>42996</v>
      </c>
      <c r="E1014" s="3">
        <v>43026</v>
      </c>
      <c r="G1014">
        <v>16892</v>
      </c>
      <c r="H1014">
        <v>19594.7</v>
      </c>
      <c r="I1014" t="s">
        <v>56</v>
      </c>
    </row>
    <row r="1015" spans="1:9" x14ac:dyDescent="0.2">
      <c r="A1015" t="s">
        <v>41</v>
      </c>
      <c r="B1015" t="s">
        <v>10</v>
      </c>
      <c r="C1015" s="3">
        <v>42992</v>
      </c>
      <c r="D1015" s="3">
        <v>42992</v>
      </c>
      <c r="E1015" s="3">
        <v>43000</v>
      </c>
      <c r="G1015">
        <v>533.4</v>
      </c>
      <c r="H1015">
        <v>618.74</v>
      </c>
      <c r="I1015" t="s">
        <v>56</v>
      </c>
    </row>
    <row r="1016" spans="1:9" x14ac:dyDescent="0.2">
      <c r="A1016" t="s">
        <v>41</v>
      </c>
      <c r="B1016" t="s">
        <v>10</v>
      </c>
      <c r="C1016" s="3">
        <v>42992</v>
      </c>
      <c r="D1016" s="3">
        <v>42992</v>
      </c>
      <c r="E1016" s="3">
        <v>43000</v>
      </c>
      <c r="G1016">
        <v>32165.4</v>
      </c>
      <c r="H1016">
        <v>37311.800000000003</v>
      </c>
      <c r="I1016" t="s">
        <v>56</v>
      </c>
    </row>
    <row r="1017" spans="1:9" x14ac:dyDescent="0.2">
      <c r="A1017" t="s">
        <v>41</v>
      </c>
      <c r="B1017" t="s">
        <v>10</v>
      </c>
      <c r="C1017" s="3">
        <v>42990</v>
      </c>
      <c r="D1017" s="3">
        <v>42990</v>
      </c>
      <c r="E1017" s="3">
        <v>42998</v>
      </c>
      <c r="G1017">
        <v>29683.9</v>
      </c>
      <c r="H1017">
        <v>34433.4</v>
      </c>
      <c r="I1017" t="s">
        <v>56</v>
      </c>
    </row>
    <row r="1018" spans="1:9" x14ac:dyDescent="0.2">
      <c r="A1018" t="s">
        <v>18</v>
      </c>
      <c r="B1018" t="s">
        <v>10</v>
      </c>
      <c r="C1018" s="3">
        <v>42989</v>
      </c>
      <c r="D1018" s="3">
        <v>42989</v>
      </c>
      <c r="E1018" s="3">
        <v>43019</v>
      </c>
      <c r="G1018">
        <v>10570</v>
      </c>
      <c r="H1018">
        <v>12261.2</v>
      </c>
      <c r="I1018" t="s">
        <v>56</v>
      </c>
    </row>
    <row r="1019" spans="1:9" x14ac:dyDescent="0.2">
      <c r="A1019" t="s">
        <v>20</v>
      </c>
      <c r="B1019" t="s">
        <v>10</v>
      </c>
      <c r="C1019" s="3">
        <v>42985</v>
      </c>
      <c r="D1019" s="3">
        <v>42985</v>
      </c>
      <c r="E1019" s="3">
        <v>43030</v>
      </c>
      <c r="G1019">
        <v>12644</v>
      </c>
      <c r="H1019">
        <v>14667</v>
      </c>
      <c r="I1019" t="s">
        <v>56</v>
      </c>
    </row>
    <row r="1020" spans="1:9" x14ac:dyDescent="0.2">
      <c r="A1020" t="s">
        <v>41</v>
      </c>
      <c r="B1020" t="s">
        <v>10</v>
      </c>
      <c r="C1020" s="3">
        <v>42985</v>
      </c>
      <c r="D1020" s="3">
        <v>42985</v>
      </c>
      <c r="E1020" s="3">
        <v>42993</v>
      </c>
      <c r="G1020">
        <v>17644.400000000001</v>
      </c>
      <c r="H1020">
        <v>20467.599999999999</v>
      </c>
      <c r="I1020" t="s">
        <v>56</v>
      </c>
    </row>
    <row r="1021" spans="1:9" x14ac:dyDescent="0.2">
      <c r="A1021" t="s">
        <v>41</v>
      </c>
      <c r="B1021" t="s">
        <v>10</v>
      </c>
      <c r="C1021" s="3">
        <v>42984</v>
      </c>
      <c r="D1021" s="3">
        <v>42984</v>
      </c>
      <c r="E1021" s="3">
        <v>42992</v>
      </c>
      <c r="G1021">
        <v>26336.799999999999</v>
      </c>
      <c r="H1021">
        <v>30550.7</v>
      </c>
      <c r="I1021" t="s">
        <v>56</v>
      </c>
    </row>
    <row r="1022" spans="1:9" x14ac:dyDescent="0.2">
      <c r="A1022" t="s">
        <v>18</v>
      </c>
      <c r="B1022" t="s">
        <v>10</v>
      </c>
      <c r="C1022" s="3">
        <v>42984</v>
      </c>
      <c r="D1022" s="3">
        <v>42982</v>
      </c>
      <c r="E1022" s="3">
        <v>43014</v>
      </c>
      <c r="G1022">
        <v>5692</v>
      </c>
      <c r="H1022">
        <v>6602.72</v>
      </c>
      <c r="I1022" t="s">
        <v>56</v>
      </c>
    </row>
    <row r="1023" spans="1:9" x14ac:dyDescent="0.2">
      <c r="A1023" t="s">
        <v>18</v>
      </c>
      <c r="B1023" t="s">
        <v>10</v>
      </c>
      <c r="C1023" s="3">
        <v>42984</v>
      </c>
      <c r="D1023" s="3">
        <v>42982</v>
      </c>
      <c r="E1023" s="3">
        <v>43014</v>
      </c>
      <c r="G1023">
        <v>4726.22</v>
      </c>
      <c r="H1023">
        <v>5482.42</v>
      </c>
      <c r="I1023" t="s">
        <v>56</v>
      </c>
    </row>
    <row r="1024" spans="1:9" x14ac:dyDescent="0.2">
      <c r="A1024" t="s">
        <v>18</v>
      </c>
      <c r="B1024" t="s">
        <v>10</v>
      </c>
      <c r="C1024" s="3">
        <v>42984</v>
      </c>
      <c r="D1024" s="3">
        <v>42982</v>
      </c>
      <c r="E1024" s="3">
        <v>43014</v>
      </c>
      <c r="G1024">
        <v>4676</v>
      </c>
      <c r="H1024">
        <v>5424.16</v>
      </c>
      <c r="I1024" t="s">
        <v>56</v>
      </c>
    </row>
    <row r="1025" spans="1:9" x14ac:dyDescent="0.2">
      <c r="A1025" t="s">
        <v>13</v>
      </c>
      <c r="B1025" t="s">
        <v>10</v>
      </c>
      <c r="C1025" s="3">
        <v>42983</v>
      </c>
      <c r="D1025" s="3">
        <v>42983</v>
      </c>
      <c r="E1025" s="3">
        <v>43013</v>
      </c>
      <c r="G1025">
        <v>36959</v>
      </c>
      <c r="H1025">
        <v>42872.4</v>
      </c>
      <c r="I1025" t="s">
        <v>56</v>
      </c>
    </row>
    <row r="1026" spans="1:9" x14ac:dyDescent="0.2">
      <c r="A1026" t="s">
        <v>41</v>
      </c>
      <c r="B1026" t="s">
        <v>10</v>
      </c>
      <c r="C1026" s="3">
        <v>42982</v>
      </c>
      <c r="D1026" s="3">
        <v>42982</v>
      </c>
      <c r="E1026" s="3">
        <v>42990</v>
      </c>
      <c r="G1026">
        <v>15227.5</v>
      </c>
      <c r="H1026">
        <v>17663.900000000001</v>
      </c>
      <c r="I1026" t="s">
        <v>56</v>
      </c>
    </row>
    <row r="1027" spans="1:9" x14ac:dyDescent="0.2">
      <c r="A1027" t="s">
        <v>25</v>
      </c>
      <c r="B1027" t="s">
        <v>10</v>
      </c>
      <c r="C1027" s="3">
        <v>42979</v>
      </c>
      <c r="D1027" s="3">
        <v>42979</v>
      </c>
      <c r="E1027" s="3">
        <v>43009</v>
      </c>
      <c r="G1027">
        <v>7666</v>
      </c>
      <c r="H1027">
        <v>8892.56</v>
      </c>
      <c r="I1027" t="s">
        <v>56</v>
      </c>
    </row>
    <row r="1028" spans="1:9" x14ac:dyDescent="0.2">
      <c r="A1028" t="s">
        <v>22</v>
      </c>
      <c r="B1028" t="s">
        <v>10</v>
      </c>
      <c r="C1028" s="3">
        <v>42979</v>
      </c>
      <c r="D1028" s="3">
        <v>42979</v>
      </c>
      <c r="E1028" s="3">
        <v>43039</v>
      </c>
      <c r="G1028">
        <v>600</v>
      </c>
      <c r="H1028">
        <v>696</v>
      </c>
      <c r="I1028" t="s">
        <v>56</v>
      </c>
    </row>
    <row r="1029" spans="1:9" x14ac:dyDescent="0.2">
      <c r="A1029" t="s">
        <v>41</v>
      </c>
      <c r="B1029" t="s">
        <v>10</v>
      </c>
      <c r="C1029" s="3">
        <v>42978</v>
      </c>
      <c r="D1029" s="3">
        <v>42978</v>
      </c>
      <c r="E1029" s="3">
        <v>42986</v>
      </c>
      <c r="G1029">
        <v>2717.76</v>
      </c>
      <c r="H1029">
        <v>3152.6</v>
      </c>
      <c r="I1029" t="s">
        <v>56</v>
      </c>
    </row>
    <row r="1030" spans="1:9" x14ac:dyDescent="0.2">
      <c r="A1030" t="s">
        <v>41</v>
      </c>
      <c r="B1030" t="s">
        <v>10</v>
      </c>
      <c r="C1030" s="3">
        <v>42978</v>
      </c>
      <c r="D1030" s="3">
        <v>42978</v>
      </c>
      <c r="E1030" s="3">
        <v>42986</v>
      </c>
      <c r="G1030">
        <v>32200.400000000001</v>
      </c>
      <c r="H1030">
        <v>37352.5</v>
      </c>
      <c r="I1030" t="s">
        <v>56</v>
      </c>
    </row>
    <row r="1031" spans="1:9" x14ac:dyDescent="0.2">
      <c r="A1031" t="s">
        <v>18</v>
      </c>
      <c r="B1031" t="s">
        <v>10</v>
      </c>
      <c r="C1031" s="3">
        <v>42978</v>
      </c>
      <c r="D1031" s="3">
        <v>42971</v>
      </c>
      <c r="E1031" s="3">
        <v>43008</v>
      </c>
      <c r="G1031">
        <v>27723</v>
      </c>
      <c r="H1031">
        <v>32158.6</v>
      </c>
      <c r="I1031" t="s">
        <v>56</v>
      </c>
    </row>
    <row r="1032" spans="1:9" x14ac:dyDescent="0.2">
      <c r="A1032" t="s">
        <v>25</v>
      </c>
      <c r="B1032" t="s">
        <v>10</v>
      </c>
      <c r="C1032" s="3">
        <v>42978</v>
      </c>
      <c r="D1032" s="3">
        <v>42978</v>
      </c>
      <c r="E1032" s="3">
        <v>43008</v>
      </c>
      <c r="G1032">
        <v>17198</v>
      </c>
      <c r="H1032">
        <v>19949.599999999999</v>
      </c>
      <c r="I1032" t="s">
        <v>56</v>
      </c>
    </row>
    <row r="1033" spans="1:9" x14ac:dyDescent="0.2">
      <c r="A1033" t="s">
        <v>40</v>
      </c>
      <c r="B1033" t="s">
        <v>10</v>
      </c>
      <c r="C1033" s="3">
        <v>42977</v>
      </c>
      <c r="D1033" s="3">
        <v>42977</v>
      </c>
      <c r="E1033" s="3">
        <v>42992</v>
      </c>
      <c r="G1033">
        <v>19800</v>
      </c>
      <c r="H1033">
        <v>22968</v>
      </c>
      <c r="I1033" t="s">
        <v>56</v>
      </c>
    </row>
    <row r="1034" spans="1:9" x14ac:dyDescent="0.2">
      <c r="A1034" t="s">
        <v>20</v>
      </c>
      <c r="B1034" t="s">
        <v>10</v>
      </c>
      <c r="C1034" s="3">
        <v>42975</v>
      </c>
      <c r="D1034" s="3">
        <v>42975</v>
      </c>
      <c r="E1034" s="3">
        <v>43020</v>
      </c>
      <c r="G1034">
        <v>40490</v>
      </c>
      <c r="H1034">
        <v>46968.4</v>
      </c>
      <c r="I1034" t="s">
        <v>56</v>
      </c>
    </row>
    <row r="1035" spans="1:9" x14ac:dyDescent="0.2">
      <c r="A1035" t="s">
        <v>41</v>
      </c>
      <c r="B1035" t="s">
        <v>10</v>
      </c>
      <c r="C1035" s="3">
        <v>42972</v>
      </c>
      <c r="D1035" s="3">
        <v>42972</v>
      </c>
      <c r="E1035" s="3">
        <v>42980</v>
      </c>
      <c r="G1035">
        <v>22257.200000000001</v>
      </c>
      <c r="H1035">
        <v>25818.3</v>
      </c>
      <c r="I1035" t="s">
        <v>56</v>
      </c>
    </row>
    <row r="1036" spans="1:9" x14ac:dyDescent="0.2">
      <c r="A1036" t="s">
        <v>41</v>
      </c>
      <c r="B1036" t="s">
        <v>10</v>
      </c>
      <c r="C1036" s="3">
        <v>42971</v>
      </c>
      <c r="D1036" s="3">
        <v>42971</v>
      </c>
      <c r="E1036" s="3">
        <v>42979</v>
      </c>
      <c r="G1036">
        <v>2594.5500000000002</v>
      </c>
      <c r="H1036">
        <v>3009.68</v>
      </c>
      <c r="I1036" t="s">
        <v>56</v>
      </c>
    </row>
    <row r="1037" spans="1:9" x14ac:dyDescent="0.2">
      <c r="A1037" t="s">
        <v>18</v>
      </c>
      <c r="B1037" t="s">
        <v>10</v>
      </c>
      <c r="C1037" s="3">
        <v>42970</v>
      </c>
      <c r="D1037" s="3">
        <v>42970</v>
      </c>
      <c r="E1037" s="3">
        <v>43000</v>
      </c>
      <c r="G1037">
        <v>22037</v>
      </c>
      <c r="H1037">
        <v>25562.9</v>
      </c>
      <c r="I1037" t="s">
        <v>56</v>
      </c>
    </row>
    <row r="1038" spans="1:9" x14ac:dyDescent="0.2">
      <c r="A1038" t="s">
        <v>18</v>
      </c>
      <c r="B1038" t="s">
        <v>10</v>
      </c>
      <c r="C1038" s="3">
        <v>42970</v>
      </c>
      <c r="D1038" s="3">
        <v>42970</v>
      </c>
      <c r="E1038" s="3">
        <v>43000</v>
      </c>
      <c r="G1038">
        <v>4676</v>
      </c>
      <c r="H1038">
        <v>5424.16</v>
      </c>
      <c r="I1038" t="s">
        <v>56</v>
      </c>
    </row>
    <row r="1039" spans="1:9" x14ac:dyDescent="0.2">
      <c r="A1039" t="s">
        <v>18</v>
      </c>
      <c r="B1039" t="s">
        <v>10</v>
      </c>
      <c r="C1039" s="3">
        <v>42970</v>
      </c>
      <c r="D1039" s="3">
        <v>42970</v>
      </c>
      <c r="E1039" s="3">
        <v>43000</v>
      </c>
      <c r="G1039">
        <v>5692</v>
      </c>
      <c r="H1039">
        <v>6602.72</v>
      </c>
      <c r="I1039" t="s">
        <v>56</v>
      </c>
    </row>
    <row r="1040" spans="1:9" x14ac:dyDescent="0.2">
      <c r="A1040" t="s">
        <v>18</v>
      </c>
      <c r="B1040" t="s">
        <v>10</v>
      </c>
      <c r="C1040" s="3">
        <v>42969</v>
      </c>
      <c r="D1040" s="3">
        <v>42969</v>
      </c>
      <c r="E1040" s="3">
        <v>42999</v>
      </c>
      <c r="G1040">
        <v>27000</v>
      </c>
      <c r="H1040">
        <v>31320</v>
      </c>
      <c r="I1040" t="s">
        <v>56</v>
      </c>
    </row>
    <row r="1041" spans="1:9" x14ac:dyDescent="0.2">
      <c r="A1041" t="s">
        <v>18</v>
      </c>
      <c r="B1041" t="s">
        <v>14</v>
      </c>
      <c r="C1041" s="3">
        <v>42969</v>
      </c>
      <c r="D1041" s="3">
        <v>42969</v>
      </c>
      <c r="E1041" s="3">
        <v>42999</v>
      </c>
      <c r="F1041" s="3">
        <v>42970</v>
      </c>
      <c r="G1041">
        <v>22655</v>
      </c>
      <c r="H1041">
        <v>26279.8</v>
      </c>
      <c r="I1041">
        <v>3</v>
      </c>
    </row>
    <row r="1042" spans="1:9" x14ac:dyDescent="0.2">
      <c r="A1042" t="s">
        <v>41</v>
      </c>
      <c r="B1042" t="s">
        <v>10</v>
      </c>
      <c r="C1042" s="3">
        <v>42963</v>
      </c>
      <c r="D1042" s="3">
        <v>42963</v>
      </c>
      <c r="E1042" s="3">
        <v>42971</v>
      </c>
      <c r="G1042">
        <v>1915.97</v>
      </c>
      <c r="H1042">
        <v>2222.5</v>
      </c>
      <c r="I1042" t="s">
        <v>56</v>
      </c>
    </row>
    <row r="1043" spans="1:9" x14ac:dyDescent="0.2">
      <c r="A1043" t="s">
        <v>18</v>
      </c>
      <c r="B1043" t="s">
        <v>10</v>
      </c>
      <c r="C1043" s="3">
        <v>42963</v>
      </c>
      <c r="D1043" s="3">
        <v>42963</v>
      </c>
      <c r="E1043" s="3">
        <v>42993</v>
      </c>
      <c r="G1043">
        <v>4500</v>
      </c>
      <c r="H1043">
        <v>5220</v>
      </c>
      <c r="I1043" t="s">
        <v>56</v>
      </c>
    </row>
    <row r="1044" spans="1:9" x14ac:dyDescent="0.2">
      <c r="A1044" t="s">
        <v>18</v>
      </c>
      <c r="B1044" t="s">
        <v>10</v>
      </c>
      <c r="C1044" s="3">
        <v>42963</v>
      </c>
      <c r="D1044" s="3">
        <v>42963</v>
      </c>
      <c r="E1044" s="3">
        <v>42993</v>
      </c>
      <c r="G1044">
        <v>6265</v>
      </c>
      <c r="H1044">
        <v>7267.4</v>
      </c>
      <c r="I1044" t="s">
        <v>56</v>
      </c>
    </row>
    <row r="1045" spans="1:9" x14ac:dyDescent="0.2">
      <c r="A1045" t="s">
        <v>18</v>
      </c>
      <c r="B1045" t="s">
        <v>10</v>
      </c>
      <c r="C1045" s="3">
        <v>42963</v>
      </c>
      <c r="D1045" s="3">
        <v>42963</v>
      </c>
      <c r="E1045" s="3">
        <v>42993</v>
      </c>
      <c r="G1045">
        <v>5516</v>
      </c>
      <c r="H1045">
        <v>6398.56</v>
      </c>
      <c r="I1045" t="s">
        <v>56</v>
      </c>
    </row>
    <row r="1046" spans="1:9" x14ac:dyDescent="0.2">
      <c r="A1046" t="s">
        <v>41</v>
      </c>
      <c r="B1046" t="s">
        <v>10</v>
      </c>
      <c r="C1046" s="3">
        <v>42962</v>
      </c>
      <c r="D1046" s="3">
        <v>42962</v>
      </c>
      <c r="E1046" s="3">
        <v>42970</v>
      </c>
      <c r="G1046">
        <v>17513.3</v>
      </c>
      <c r="H1046">
        <v>20315.400000000001</v>
      </c>
      <c r="I1046" t="s">
        <v>56</v>
      </c>
    </row>
    <row r="1047" spans="1:9" x14ac:dyDescent="0.2">
      <c r="A1047" t="s">
        <v>41</v>
      </c>
      <c r="B1047" t="s">
        <v>10</v>
      </c>
      <c r="C1047" s="3">
        <v>42962</v>
      </c>
      <c r="D1047" s="3">
        <v>42962</v>
      </c>
      <c r="E1047" s="3">
        <v>42970</v>
      </c>
      <c r="G1047">
        <v>12031.6</v>
      </c>
      <c r="H1047">
        <v>13956.7</v>
      </c>
      <c r="I1047" t="s">
        <v>56</v>
      </c>
    </row>
    <row r="1048" spans="1:9" x14ac:dyDescent="0.2">
      <c r="A1048" t="s">
        <v>23</v>
      </c>
      <c r="B1048" t="s">
        <v>10</v>
      </c>
      <c r="C1048" s="3">
        <v>42961</v>
      </c>
      <c r="D1048" s="3">
        <v>42961</v>
      </c>
      <c r="E1048" s="3">
        <v>43021</v>
      </c>
      <c r="G1048">
        <v>1636</v>
      </c>
      <c r="H1048">
        <v>1897.76</v>
      </c>
      <c r="I1048" t="s">
        <v>56</v>
      </c>
    </row>
    <row r="1049" spans="1:9" x14ac:dyDescent="0.2">
      <c r="A1049" t="s">
        <v>23</v>
      </c>
      <c r="B1049" t="s">
        <v>10</v>
      </c>
      <c r="C1049" s="3">
        <v>42961</v>
      </c>
      <c r="D1049" s="3">
        <v>42961</v>
      </c>
      <c r="E1049" s="3">
        <v>43021</v>
      </c>
      <c r="G1049">
        <v>1900</v>
      </c>
      <c r="H1049">
        <v>2204</v>
      </c>
      <c r="I1049" t="s">
        <v>56</v>
      </c>
    </row>
    <row r="1050" spans="1:9" x14ac:dyDescent="0.2">
      <c r="A1050" t="s">
        <v>23</v>
      </c>
      <c r="B1050" t="s">
        <v>10</v>
      </c>
      <c r="C1050" s="3">
        <v>42961</v>
      </c>
      <c r="D1050" s="3">
        <v>42961</v>
      </c>
      <c r="E1050" s="3">
        <v>43021</v>
      </c>
      <c r="G1050">
        <v>2280</v>
      </c>
      <c r="H1050">
        <v>2644.8</v>
      </c>
      <c r="I1050" t="s">
        <v>56</v>
      </c>
    </row>
    <row r="1051" spans="1:9" x14ac:dyDescent="0.2">
      <c r="A1051" t="s">
        <v>26</v>
      </c>
      <c r="B1051" t="s">
        <v>10</v>
      </c>
      <c r="C1051" s="3">
        <v>42961</v>
      </c>
      <c r="D1051" s="3">
        <v>42961</v>
      </c>
      <c r="E1051" s="3">
        <v>42968</v>
      </c>
      <c r="G1051">
        <v>422</v>
      </c>
      <c r="H1051">
        <v>489.52</v>
      </c>
      <c r="I1051" t="s">
        <v>56</v>
      </c>
    </row>
    <row r="1052" spans="1:9" x14ac:dyDescent="0.2">
      <c r="A1052" t="s">
        <v>43</v>
      </c>
      <c r="B1052" t="s">
        <v>10</v>
      </c>
      <c r="C1052" s="3">
        <v>42961</v>
      </c>
      <c r="D1052" s="3">
        <v>42961</v>
      </c>
      <c r="E1052" s="3">
        <v>42963</v>
      </c>
      <c r="G1052">
        <v>3270</v>
      </c>
      <c r="H1052">
        <v>3793.2</v>
      </c>
      <c r="I1052" t="s">
        <v>56</v>
      </c>
    </row>
    <row r="1053" spans="1:9" x14ac:dyDescent="0.2">
      <c r="A1053" t="s">
        <v>26</v>
      </c>
      <c r="B1053" t="s">
        <v>14</v>
      </c>
      <c r="C1053" s="3">
        <v>42961</v>
      </c>
      <c r="D1053" s="3">
        <v>42961</v>
      </c>
      <c r="E1053" s="3">
        <v>42968</v>
      </c>
      <c r="F1053" s="3">
        <v>42961</v>
      </c>
      <c r="G1053">
        <v>2110</v>
      </c>
      <c r="H1053">
        <v>2447.6</v>
      </c>
      <c r="I1053">
        <v>3</v>
      </c>
    </row>
    <row r="1054" spans="1:9" x14ac:dyDescent="0.2">
      <c r="A1054" t="s">
        <v>43</v>
      </c>
      <c r="B1054" t="s">
        <v>10</v>
      </c>
      <c r="C1054" s="3">
        <v>42958</v>
      </c>
      <c r="D1054" s="3">
        <v>42957</v>
      </c>
      <c r="E1054" s="3">
        <v>42960</v>
      </c>
      <c r="G1054">
        <v>1085</v>
      </c>
      <c r="H1054">
        <v>1258.5999999999999</v>
      </c>
      <c r="I1054" t="s">
        <v>56</v>
      </c>
    </row>
    <row r="1055" spans="1:9" x14ac:dyDescent="0.2">
      <c r="A1055" t="s">
        <v>25</v>
      </c>
      <c r="B1055" t="s">
        <v>10</v>
      </c>
      <c r="C1055" s="3">
        <v>42956</v>
      </c>
      <c r="D1055" s="3">
        <v>42956</v>
      </c>
      <c r="E1055" s="3">
        <v>42986</v>
      </c>
      <c r="G1055">
        <v>15045</v>
      </c>
      <c r="H1055">
        <v>17452.2</v>
      </c>
      <c r="I1055" t="s">
        <v>56</v>
      </c>
    </row>
    <row r="1056" spans="1:9" x14ac:dyDescent="0.2">
      <c r="A1056" t="s">
        <v>41</v>
      </c>
      <c r="B1056" t="s">
        <v>10</v>
      </c>
      <c r="C1056" s="3">
        <v>42955</v>
      </c>
      <c r="D1056" s="3">
        <v>42955</v>
      </c>
      <c r="E1056" s="3">
        <v>42963</v>
      </c>
      <c r="G1056">
        <v>5192.3500000000004</v>
      </c>
      <c r="H1056">
        <v>6023.06</v>
      </c>
      <c r="I1056" t="s">
        <v>56</v>
      </c>
    </row>
    <row r="1057" spans="1:9" x14ac:dyDescent="0.2">
      <c r="A1057" t="s">
        <v>18</v>
      </c>
      <c r="B1057" t="s">
        <v>10</v>
      </c>
      <c r="C1057" s="3">
        <v>42955</v>
      </c>
      <c r="D1057" s="3">
        <v>42955</v>
      </c>
      <c r="E1057" s="3">
        <v>42985</v>
      </c>
      <c r="G1057">
        <v>8232</v>
      </c>
      <c r="H1057">
        <v>9549.1200000000008</v>
      </c>
      <c r="I1057" t="s">
        <v>56</v>
      </c>
    </row>
    <row r="1058" spans="1:9" x14ac:dyDescent="0.2">
      <c r="A1058" t="s">
        <v>18</v>
      </c>
      <c r="B1058" t="s">
        <v>10</v>
      </c>
      <c r="C1058" s="3">
        <v>42955</v>
      </c>
      <c r="D1058" s="3">
        <v>42955</v>
      </c>
      <c r="E1058" s="3">
        <v>42985</v>
      </c>
      <c r="G1058">
        <v>29480</v>
      </c>
      <c r="H1058">
        <v>34196.800000000003</v>
      </c>
      <c r="I1058" t="s">
        <v>56</v>
      </c>
    </row>
    <row r="1059" spans="1:9" x14ac:dyDescent="0.2">
      <c r="A1059" t="s">
        <v>22</v>
      </c>
      <c r="B1059" t="s">
        <v>10</v>
      </c>
      <c r="C1059" s="3">
        <v>42954</v>
      </c>
      <c r="D1059" s="3">
        <v>42954</v>
      </c>
      <c r="E1059" s="3">
        <v>43014</v>
      </c>
      <c r="G1059">
        <v>1107.94</v>
      </c>
      <c r="H1059">
        <v>1285.21</v>
      </c>
      <c r="I1059" t="s">
        <v>56</v>
      </c>
    </row>
    <row r="1060" spans="1:9" x14ac:dyDescent="0.2">
      <c r="A1060" t="s">
        <v>13</v>
      </c>
      <c r="B1060" t="s">
        <v>10</v>
      </c>
      <c r="C1060" s="3">
        <v>42951</v>
      </c>
      <c r="D1060" s="3">
        <v>42951</v>
      </c>
      <c r="E1060" s="3">
        <v>42981</v>
      </c>
      <c r="G1060">
        <v>175</v>
      </c>
      <c r="H1060">
        <v>203</v>
      </c>
      <c r="I1060" t="s">
        <v>56</v>
      </c>
    </row>
    <row r="1061" spans="1:9" x14ac:dyDescent="0.2">
      <c r="A1061" t="s">
        <v>36</v>
      </c>
      <c r="B1061" t="s">
        <v>10</v>
      </c>
      <c r="C1061" s="3">
        <v>42951</v>
      </c>
      <c r="D1061" s="3">
        <v>42951</v>
      </c>
      <c r="E1061" s="3">
        <v>42966</v>
      </c>
      <c r="G1061">
        <v>4280</v>
      </c>
      <c r="H1061">
        <v>4964.8</v>
      </c>
      <c r="I1061" t="s">
        <v>56</v>
      </c>
    </row>
    <row r="1062" spans="1:9" x14ac:dyDescent="0.2">
      <c r="A1062" t="s">
        <v>41</v>
      </c>
      <c r="B1062" t="s">
        <v>10</v>
      </c>
      <c r="C1062" s="3">
        <v>42950</v>
      </c>
      <c r="D1062" s="3">
        <v>42950</v>
      </c>
      <c r="E1062" s="3">
        <v>42958</v>
      </c>
      <c r="G1062">
        <v>91902.2</v>
      </c>
      <c r="H1062">
        <v>106606</v>
      </c>
      <c r="I1062" t="s">
        <v>56</v>
      </c>
    </row>
    <row r="1063" spans="1:9" x14ac:dyDescent="0.2">
      <c r="A1063" t="s">
        <v>41</v>
      </c>
      <c r="B1063" t="s">
        <v>10</v>
      </c>
      <c r="C1063" s="3">
        <v>42950</v>
      </c>
      <c r="D1063" s="3">
        <v>42950</v>
      </c>
      <c r="E1063" s="3">
        <v>42958</v>
      </c>
      <c r="G1063">
        <v>76599.5</v>
      </c>
      <c r="H1063">
        <v>88855.5</v>
      </c>
      <c r="I1063" t="s">
        <v>56</v>
      </c>
    </row>
    <row r="1064" spans="1:9" x14ac:dyDescent="0.2">
      <c r="A1064" t="s">
        <v>18</v>
      </c>
      <c r="B1064" t="s">
        <v>10</v>
      </c>
      <c r="C1064" s="3">
        <v>42950</v>
      </c>
      <c r="D1064" s="3">
        <v>42950</v>
      </c>
      <c r="E1064" s="3">
        <v>42980</v>
      </c>
      <c r="G1064">
        <v>16892</v>
      </c>
      <c r="H1064">
        <v>19594.7</v>
      </c>
      <c r="I1064" t="s">
        <v>56</v>
      </c>
    </row>
    <row r="1065" spans="1:9" x14ac:dyDescent="0.2">
      <c r="A1065" t="s">
        <v>18</v>
      </c>
      <c r="B1065" t="s">
        <v>10</v>
      </c>
      <c r="C1065" s="3">
        <v>42950</v>
      </c>
      <c r="D1065" s="3">
        <v>42950</v>
      </c>
      <c r="E1065" s="3">
        <v>42980</v>
      </c>
      <c r="G1065">
        <v>59704</v>
      </c>
      <c r="H1065">
        <v>69256.600000000006</v>
      </c>
      <c r="I1065" t="s">
        <v>56</v>
      </c>
    </row>
    <row r="1066" spans="1:9" x14ac:dyDescent="0.2">
      <c r="A1066" t="s">
        <v>22</v>
      </c>
      <c r="B1066" t="s">
        <v>10</v>
      </c>
      <c r="C1066" s="3">
        <v>42950</v>
      </c>
      <c r="D1066" s="3">
        <v>42950</v>
      </c>
      <c r="E1066" s="3">
        <v>43010</v>
      </c>
      <c r="G1066">
        <v>935.92</v>
      </c>
      <c r="H1066">
        <v>1085.7</v>
      </c>
      <c r="I1066" t="s">
        <v>56</v>
      </c>
    </row>
    <row r="1067" spans="1:9" x14ac:dyDescent="0.2">
      <c r="A1067" t="s">
        <v>18</v>
      </c>
      <c r="B1067" t="s">
        <v>10</v>
      </c>
      <c r="C1067" s="3">
        <v>42949</v>
      </c>
      <c r="D1067" s="3">
        <v>42949</v>
      </c>
      <c r="E1067" s="3">
        <v>42979</v>
      </c>
      <c r="G1067">
        <v>29480</v>
      </c>
      <c r="H1067">
        <v>34196.800000000003</v>
      </c>
      <c r="I1067" t="s">
        <v>56</v>
      </c>
    </row>
    <row r="1068" spans="1:9" x14ac:dyDescent="0.2">
      <c r="A1068" t="s">
        <v>26</v>
      </c>
      <c r="B1068" t="s">
        <v>10</v>
      </c>
      <c r="C1068" s="3">
        <v>42949</v>
      </c>
      <c r="D1068" s="3">
        <v>42949</v>
      </c>
      <c r="E1068" s="3">
        <v>42956</v>
      </c>
      <c r="G1068">
        <v>76103.199999999997</v>
      </c>
      <c r="H1068">
        <v>88279.7</v>
      </c>
      <c r="I1068" t="s">
        <v>56</v>
      </c>
    </row>
    <row r="1069" spans="1:9" x14ac:dyDescent="0.2">
      <c r="A1069" t="s">
        <v>26</v>
      </c>
      <c r="B1069" t="s">
        <v>10</v>
      </c>
      <c r="C1069" s="3">
        <v>42949</v>
      </c>
      <c r="D1069" s="3">
        <v>42949</v>
      </c>
      <c r="E1069" s="3">
        <v>42956</v>
      </c>
      <c r="G1069">
        <v>198654</v>
      </c>
      <c r="H1069">
        <v>230439</v>
      </c>
      <c r="I1069" t="s">
        <v>56</v>
      </c>
    </row>
    <row r="1070" spans="1:9" x14ac:dyDescent="0.2">
      <c r="A1070" t="s">
        <v>40</v>
      </c>
      <c r="B1070" t="s">
        <v>10</v>
      </c>
      <c r="C1070" s="3">
        <v>42948</v>
      </c>
      <c r="D1070" s="3">
        <v>42948</v>
      </c>
      <c r="E1070" s="3">
        <v>42963</v>
      </c>
      <c r="G1070">
        <v>41860</v>
      </c>
      <c r="H1070">
        <v>48557.599999999999</v>
      </c>
      <c r="I1070" t="s">
        <v>56</v>
      </c>
    </row>
    <row r="1071" spans="1:9" x14ac:dyDescent="0.2">
      <c r="A1071" t="s">
        <v>18</v>
      </c>
      <c r="B1071" t="s">
        <v>10</v>
      </c>
      <c r="C1071" s="3">
        <v>42948</v>
      </c>
      <c r="D1071" s="3">
        <v>42948</v>
      </c>
      <c r="E1071" s="3">
        <v>42978</v>
      </c>
      <c r="G1071">
        <v>8330</v>
      </c>
      <c r="H1071">
        <v>9662.7999999999993</v>
      </c>
      <c r="I1071" t="s">
        <v>56</v>
      </c>
    </row>
    <row r="1072" spans="1:9" x14ac:dyDescent="0.2">
      <c r="A1072" t="s">
        <v>41</v>
      </c>
      <c r="B1072" t="s">
        <v>10</v>
      </c>
      <c r="C1072" s="3">
        <v>42947</v>
      </c>
      <c r="D1072" s="3">
        <v>42947</v>
      </c>
      <c r="E1072" s="3">
        <v>42955</v>
      </c>
      <c r="G1072">
        <v>62576.7</v>
      </c>
      <c r="H1072">
        <v>72589.100000000006</v>
      </c>
      <c r="I1072" t="s">
        <v>56</v>
      </c>
    </row>
    <row r="1073" spans="1:9" x14ac:dyDescent="0.2">
      <c r="A1073" t="s">
        <v>18</v>
      </c>
      <c r="B1073" t="s">
        <v>10</v>
      </c>
      <c r="C1073" s="3">
        <v>42944</v>
      </c>
      <c r="D1073" s="3">
        <v>42944</v>
      </c>
      <c r="E1073" s="3">
        <v>42974</v>
      </c>
      <c r="G1073">
        <v>16892</v>
      </c>
      <c r="H1073">
        <v>19594.7</v>
      </c>
      <c r="I1073" t="s">
        <v>56</v>
      </c>
    </row>
    <row r="1074" spans="1:9" x14ac:dyDescent="0.2">
      <c r="A1074" t="s">
        <v>39</v>
      </c>
      <c r="B1074" t="s">
        <v>10</v>
      </c>
      <c r="C1074" s="3">
        <v>42944</v>
      </c>
      <c r="D1074" s="3">
        <v>42930</v>
      </c>
      <c r="E1074" s="3">
        <v>42952</v>
      </c>
      <c r="G1074">
        <v>8639.9599999999991</v>
      </c>
      <c r="H1074">
        <v>10022.299999999999</v>
      </c>
      <c r="I1074" t="s">
        <v>56</v>
      </c>
    </row>
    <row r="1075" spans="1:9" x14ac:dyDescent="0.2">
      <c r="A1075" t="s">
        <v>18</v>
      </c>
      <c r="B1075" t="s">
        <v>10</v>
      </c>
      <c r="C1075" s="3">
        <v>42944</v>
      </c>
      <c r="D1075" s="3">
        <v>42944</v>
      </c>
      <c r="E1075" s="3">
        <v>42974</v>
      </c>
      <c r="G1075">
        <v>1964</v>
      </c>
      <c r="H1075">
        <v>2278.2399999999998</v>
      </c>
      <c r="I1075" t="s">
        <v>56</v>
      </c>
    </row>
    <row r="1076" spans="1:9" x14ac:dyDescent="0.2">
      <c r="A1076" t="s">
        <v>40</v>
      </c>
      <c r="B1076" t="s">
        <v>10</v>
      </c>
      <c r="C1076" s="3">
        <v>42944</v>
      </c>
      <c r="D1076" s="3">
        <v>42944</v>
      </c>
      <c r="E1076" s="3">
        <v>42959</v>
      </c>
      <c r="G1076">
        <v>4560</v>
      </c>
      <c r="H1076">
        <v>5289.6</v>
      </c>
      <c r="I1076" t="s">
        <v>56</v>
      </c>
    </row>
    <row r="1077" spans="1:9" x14ac:dyDescent="0.2">
      <c r="A1077" t="s">
        <v>40</v>
      </c>
      <c r="B1077" t="s">
        <v>10</v>
      </c>
      <c r="C1077" s="3">
        <v>42942</v>
      </c>
      <c r="D1077" s="3">
        <v>42942</v>
      </c>
      <c r="E1077" s="3">
        <v>42957</v>
      </c>
      <c r="G1077">
        <v>18650</v>
      </c>
      <c r="H1077">
        <v>21634</v>
      </c>
      <c r="I1077" t="s">
        <v>56</v>
      </c>
    </row>
    <row r="1078" spans="1:9" x14ac:dyDescent="0.2">
      <c r="A1078" t="s">
        <v>18</v>
      </c>
      <c r="B1078" t="s">
        <v>10</v>
      </c>
      <c r="C1078" s="3">
        <v>42941</v>
      </c>
      <c r="D1078" s="3">
        <v>42941</v>
      </c>
      <c r="E1078" s="3">
        <v>42971</v>
      </c>
      <c r="G1078">
        <v>41712</v>
      </c>
      <c r="H1078">
        <v>48385.9</v>
      </c>
      <c r="I1078" t="s">
        <v>56</v>
      </c>
    </row>
    <row r="1079" spans="1:9" x14ac:dyDescent="0.2">
      <c r="A1079" t="s">
        <v>26</v>
      </c>
      <c r="B1079" t="s">
        <v>10</v>
      </c>
      <c r="C1079" s="3">
        <v>42941</v>
      </c>
      <c r="D1079" s="3">
        <v>42941</v>
      </c>
      <c r="E1079" s="3">
        <v>42948</v>
      </c>
      <c r="G1079">
        <v>73225.2</v>
      </c>
      <c r="H1079">
        <v>84941.2</v>
      </c>
      <c r="I1079" t="s">
        <v>56</v>
      </c>
    </row>
    <row r="1080" spans="1:9" x14ac:dyDescent="0.2">
      <c r="A1080" t="s">
        <v>26</v>
      </c>
      <c r="B1080" t="s">
        <v>10</v>
      </c>
      <c r="C1080" s="3">
        <v>42941</v>
      </c>
      <c r="D1080" s="3">
        <v>42941</v>
      </c>
      <c r="E1080" s="3">
        <v>42948</v>
      </c>
      <c r="G1080">
        <v>87273.2</v>
      </c>
      <c r="H1080">
        <v>101236</v>
      </c>
      <c r="I1080" t="s">
        <v>56</v>
      </c>
    </row>
    <row r="1081" spans="1:9" x14ac:dyDescent="0.2">
      <c r="A1081" t="s">
        <v>26</v>
      </c>
      <c r="B1081" t="s">
        <v>14</v>
      </c>
      <c r="C1081" s="3">
        <v>42941</v>
      </c>
      <c r="D1081" s="3">
        <v>42941</v>
      </c>
      <c r="E1081" s="3">
        <v>42948</v>
      </c>
      <c r="F1081" s="3">
        <v>42941</v>
      </c>
      <c r="G1081">
        <v>4970</v>
      </c>
      <c r="H1081">
        <v>5765.2</v>
      </c>
      <c r="I1081">
        <v>3</v>
      </c>
    </row>
    <row r="1082" spans="1:9" x14ac:dyDescent="0.2">
      <c r="A1082" t="s">
        <v>13</v>
      </c>
      <c r="B1082" t="s">
        <v>10</v>
      </c>
      <c r="C1082" s="3">
        <v>42941</v>
      </c>
      <c r="D1082" s="3">
        <v>42941</v>
      </c>
      <c r="E1082" s="3">
        <v>42971</v>
      </c>
      <c r="G1082">
        <v>2247</v>
      </c>
      <c r="H1082">
        <v>2606.52</v>
      </c>
      <c r="I1082" t="s">
        <v>56</v>
      </c>
    </row>
    <row r="1083" spans="1:9" x14ac:dyDescent="0.2">
      <c r="A1083" t="s">
        <v>41</v>
      </c>
      <c r="B1083" t="s">
        <v>10</v>
      </c>
      <c r="C1083" s="3">
        <v>42940</v>
      </c>
      <c r="D1083" s="3">
        <v>42940</v>
      </c>
      <c r="E1083" s="3">
        <v>42948</v>
      </c>
      <c r="G1083">
        <v>76.959999999999994</v>
      </c>
      <c r="H1083">
        <v>89.2</v>
      </c>
      <c r="I1083" t="s">
        <v>56</v>
      </c>
    </row>
    <row r="1084" spans="1:9" x14ac:dyDescent="0.2">
      <c r="A1084" t="s">
        <v>26</v>
      </c>
      <c r="B1084" t="s">
        <v>10</v>
      </c>
      <c r="C1084" s="3">
        <v>42937</v>
      </c>
      <c r="D1084" s="3">
        <v>42937</v>
      </c>
      <c r="E1084" s="3">
        <v>42944</v>
      </c>
      <c r="G1084">
        <v>6094.2</v>
      </c>
      <c r="H1084">
        <v>7069.27</v>
      </c>
      <c r="I1084" t="s">
        <v>56</v>
      </c>
    </row>
    <row r="1085" spans="1:9" x14ac:dyDescent="0.2">
      <c r="A1085" t="s">
        <v>41</v>
      </c>
      <c r="B1085" t="s">
        <v>10</v>
      </c>
      <c r="C1085" s="3">
        <v>42937</v>
      </c>
      <c r="D1085" s="3">
        <v>42937</v>
      </c>
      <c r="E1085" s="3">
        <v>42945</v>
      </c>
      <c r="G1085">
        <v>692.6</v>
      </c>
      <c r="H1085">
        <v>803.49</v>
      </c>
      <c r="I1085" t="s">
        <v>56</v>
      </c>
    </row>
    <row r="1086" spans="1:9" x14ac:dyDescent="0.2">
      <c r="A1086" t="s">
        <v>41</v>
      </c>
      <c r="B1086" t="s">
        <v>10</v>
      </c>
      <c r="C1086" s="3">
        <v>42936</v>
      </c>
      <c r="D1086" s="3">
        <v>42936</v>
      </c>
      <c r="E1086" s="3">
        <v>42944</v>
      </c>
      <c r="G1086">
        <v>13151.5</v>
      </c>
      <c r="H1086">
        <v>15255.7</v>
      </c>
      <c r="I1086" t="s">
        <v>56</v>
      </c>
    </row>
    <row r="1087" spans="1:9" x14ac:dyDescent="0.2">
      <c r="A1087" t="s">
        <v>13</v>
      </c>
      <c r="B1087" t="s">
        <v>10</v>
      </c>
      <c r="C1087" s="3">
        <v>42935</v>
      </c>
      <c r="D1087" s="3">
        <v>42935</v>
      </c>
      <c r="E1087" s="3">
        <v>42965</v>
      </c>
      <c r="G1087">
        <v>11320</v>
      </c>
      <c r="H1087">
        <v>13131.2</v>
      </c>
      <c r="I1087" t="s">
        <v>56</v>
      </c>
    </row>
    <row r="1088" spans="1:9" x14ac:dyDescent="0.2">
      <c r="A1088" t="s">
        <v>41</v>
      </c>
      <c r="B1088" t="s">
        <v>10</v>
      </c>
      <c r="C1088" s="3">
        <v>42935</v>
      </c>
      <c r="D1088" s="3">
        <v>42935</v>
      </c>
      <c r="E1088" s="3">
        <v>42943</v>
      </c>
      <c r="G1088">
        <v>29307.200000000001</v>
      </c>
      <c r="H1088">
        <v>33996.300000000003</v>
      </c>
      <c r="I1088" t="s">
        <v>56</v>
      </c>
    </row>
    <row r="1089" spans="1:9" x14ac:dyDescent="0.2">
      <c r="A1089" t="s">
        <v>26</v>
      </c>
      <c r="B1089" t="s">
        <v>10</v>
      </c>
      <c r="C1089" s="3">
        <v>42935</v>
      </c>
      <c r="D1089" s="3">
        <v>42935</v>
      </c>
      <c r="E1089" s="3">
        <v>42942</v>
      </c>
      <c r="G1089">
        <v>274599</v>
      </c>
      <c r="H1089">
        <v>318535</v>
      </c>
      <c r="I1089" t="s">
        <v>56</v>
      </c>
    </row>
    <row r="1090" spans="1:9" x14ac:dyDescent="0.2">
      <c r="A1090" t="s">
        <v>26</v>
      </c>
      <c r="B1090" t="s">
        <v>10</v>
      </c>
      <c r="C1090" s="3">
        <v>42935</v>
      </c>
      <c r="D1090" s="3">
        <v>42935</v>
      </c>
      <c r="E1090" s="3">
        <v>42942</v>
      </c>
      <c r="G1090">
        <v>256580</v>
      </c>
      <c r="H1090">
        <v>297632</v>
      </c>
      <c r="I1090" t="s">
        <v>56</v>
      </c>
    </row>
    <row r="1091" spans="1:9" x14ac:dyDescent="0.2">
      <c r="A1091" t="s">
        <v>41</v>
      </c>
      <c r="B1091" t="s">
        <v>10</v>
      </c>
      <c r="C1091" s="3">
        <v>42935</v>
      </c>
      <c r="D1091" s="3">
        <v>42935</v>
      </c>
      <c r="E1091" s="3">
        <v>42943</v>
      </c>
      <c r="G1091">
        <v>58806.6</v>
      </c>
      <c r="H1091">
        <v>68215.600000000006</v>
      </c>
      <c r="I1091" t="s">
        <v>56</v>
      </c>
    </row>
    <row r="1092" spans="1:9" x14ac:dyDescent="0.2">
      <c r="A1092" t="s">
        <v>26</v>
      </c>
      <c r="B1092" t="s">
        <v>10</v>
      </c>
      <c r="C1092" s="3">
        <v>42933</v>
      </c>
      <c r="D1092" s="3">
        <v>42933</v>
      </c>
      <c r="E1092" s="3">
        <v>42940</v>
      </c>
      <c r="G1092">
        <v>11613</v>
      </c>
      <c r="H1092">
        <v>13471</v>
      </c>
      <c r="I1092" t="s">
        <v>56</v>
      </c>
    </row>
    <row r="1093" spans="1:9" x14ac:dyDescent="0.2">
      <c r="A1093" t="s">
        <v>59</v>
      </c>
      <c r="B1093" t="s">
        <v>10</v>
      </c>
      <c r="C1093" s="3">
        <v>42933</v>
      </c>
      <c r="D1093" s="3">
        <v>42933</v>
      </c>
      <c r="E1093" s="3">
        <v>42948</v>
      </c>
      <c r="G1093">
        <v>2950</v>
      </c>
      <c r="H1093">
        <v>3422</v>
      </c>
      <c r="I1093" t="s">
        <v>56</v>
      </c>
    </row>
    <row r="1094" spans="1:9" x14ac:dyDescent="0.2">
      <c r="A1094" t="s">
        <v>20</v>
      </c>
      <c r="B1094" t="s">
        <v>10</v>
      </c>
      <c r="C1094" s="3">
        <v>42930</v>
      </c>
      <c r="D1094" s="3">
        <v>42930</v>
      </c>
      <c r="E1094" s="3">
        <v>42975</v>
      </c>
      <c r="G1094">
        <v>58070</v>
      </c>
      <c r="H1094">
        <v>67361.2</v>
      </c>
      <c r="I1094" t="s">
        <v>56</v>
      </c>
    </row>
    <row r="1095" spans="1:9" x14ac:dyDescent="0.2">
      <c r="A1095" t="s">
        <v>25</v>
      </c>
      <c r="B1095" t="s">
        <v>10</v>
      </c>
      <c r="C1095" s="3">
        <v>42930</v>
      </c>
      <c r="D1095" s="3">
        <v>42930</v>
      </c>
      <c r="E1095" s="3">
        <v>42960</v>
      </c>
      <c r="G1095">
        <v>3395</v>
      </c>
      <c r="H1095">
        <v>3938.2</v>
      </c>
      <c r="I1095" t="s">
        <v>56</v>
      </c>
    </row>
    <row r="1096" spans="1:9" x14ac:dyDescent="0.2">
      <c r="A1096" t="s">
        <v>13</v>
      </c>
      <c r="B1096" t="s">
        <v>10</v>
      </c>
      <c r="C1096" s="3">
        <v>42930</v>
      </c>
      <c r="D1096" s="3">
        <v>42930</v>
      </c>
      <c r="E1096" s="3">
        <v>42960</v>
      </c>
      <c r="G1096">
        <v>17689</v>
      </c>
      <c r="H1096">
        <v>20519.2</v>
      </c>
      <c r="I1096" t="s">
        <v>56</v>
      </c>
    </row>
    <row r="1097" spans="1:9" x14ac:dyDescent="0.2">
      <c r="A1097" t="s">
        <v>18</v>
      </c>
      <c r="B1097" t="s">
        <v>10</v>
      </c>
      <c r="C1097" s="3">
        <v>42930</v>
      </c>
      <c r="D1097" s="3">
        <v>42930</v>
      </c>
      <c r="E1097" s="3">
        <v>42960</v>
      </c>
      <c r="G1097">
        <v>22577</v>
      </c>
      <c r="H1097">
        <v>26189.3</v>
      </c>
      <c r="I1097" t="s">
        <v>56</v>
      </c>
    </row>
    <row r="1098" spans="1:9" x14ac:dyDescent="0.2">
      <c r="A1098" t="s">
        <v>18</v>
      </c>
      <c r="B1098" t="s">
        <v>10</v>
      </c>
      <c r="C1098" s="3">
        <v>42930</v>
      </c>
      <c r="D1098" s="3">
        <v>42930</v>
      </c>
      <c r="E1098" s="3">
        <v>42960</v>
      </c>
      <c r="G1098">
        <v>3190</v>
      </c>
      <c r="H1098">
        <v>3700.4</v>
      </c>
      <c r="I1098" t="s">
        <v>56</v>
      </c>
    </row>
    <row r="1099" spans="1:9" x14ac:dyDescent="0.2">
      <c r="A1099" t="s">
        <v>13</v>
      </c>
      <c r="B1099" t="s">
        <v>10</v>
      </c>
      <c r="C1099" s="3">
        <v>42928</v>
      </c>
      <c r="D1099" s="3">
        <v>42928</v>
      </c>
      <c r="E1099" s="3">
        <v>42958</v>
      </c>
      <c r="G1099">
        <v>2460</v>
      </c>
      <c r="H1099">
        <v>2853.6</v>
      </c>
      <c r="I1099" t="s">
        <v>56</v>
      </c>
    </row>
    <row r="1100" spans="1:9" x14ac:dyDescent="0.2">
      <c r="A1100" t="s">
        <v>13</v>
      </c>
      <c r="B1100" t="s">
        <v>10</v>
      </c>
      <c r="C1100" s="3">
        <v>42928</v>
      </c>
      <c r="D1100" s="3">
        <v>42928</v>
      </c>
      <c r="E1100" s="3">
        <v>42958</v>
      </c>
      <c r="G1100">
        <v>2755</v>
      </c>
      <c r="H1100">
        <v>3195.8</v>
      </c>
      <c r="I1100" t="s">
        <v>56</v>
      </c>
    </row>
    <row r="1101" spans="1:9" x14ac:dyDescent="0.2">
      <c r="A1101" t="s">
        <v>52</v>
      </c>
      <c r="B1101" t="s">
        <v>10</v>
      </c>
      <c r="C1101" s="3">
        <v>42927</v>
      </c>
      <c r="D1101" s="3">
        <v>42926</v>
      </c>
      <c r="E1101" s="3">
        <v>42934</v>
      </c>
      <c r="G1101">
        <v>1442</v>
      </c>
      <c r="H1101">
        <v>1672.72</v>
      </c>
      <c r="I1101" t="s">
        <v>60</v>
      </c>
    </row>
    <row r="1102" spans="1:9" x14ac:dyDescent="0.2">
      <c r="A1102" t="s">
        <v>41</v>
      </c>
      <c r="B1102" t="s">
        <v>10</v>
      </c>
      <c r="C1102" s="3">
        <v>42926</v>
      </c>
      <c r="D1102" s="3">
        <v>42926</v>
      </c>
      <c r="E1102" s="3">
        <v>42934</v>
      </c>
      <c r="G1102">
        <v>45804.5</v>
      </c>
      <c r="H1102">
        <v>53133.3</v>
      </c>
      <c r="I1102" t="s">
        <v>56</v>
      </c>
    </row>
    <row r="1103" spans="1:9" x14ac:dyDescent="0.2">
      <c r="A1103" t="s">
        <v>26</v>
      </c>
      <c r="B1103" t="s">
        <v>10</v>
      </c>
      <c r="C1103" s="3">
        <v>42926</v>
      </c>
      <c r="D1103" s="3">
        <v>42926</v>
      </c>
      <c r="E1103" s="3">
        <v>42933</v>
      </c>
      <c r="G1103">
        <v>699</v>
      </c>
      <c r="H1103">
        <v>810.84</v>
      </c>
      <c r="I1103" t="s">
        <v>56</v>
      </c>
    </row>
    <row r="1104" spans="1:9" x14ac:dyDescent="0.2">
      <c r="A1104" t="s">
        <v>54</v>
      </c>
      <c r="B1104" t="s">
        <v>10</v>
      </c>
      <c r="C1104" s="3">
        <v>42923</v>
      </c>
      <c r="D1104" s="3">
        <v>42923</v>
      </c>
      <c r="E1104" s="3">
        <v>42923</v>
      </c>
      <c r="G1104">
        <v>1211.76</v>
      </c>
      <c r="H1104">
        <v>1405.64</v>
      </c>
      <c r="I1104" t="s">
        <v>56</v>
      </c>
    </row>
    <row r="1105" spans="1:9" x14ac:dyDescent="0.2">
      <c r="A1105" t="s">
        <v>61</v>
      </c>
      <c r="B1105" t="s">
        <v>10</v>
      </c>
      <c r="C1105" s="3">
        <v>42922</v>
      </c>
      <c r="D1105" s="3">
        <v>42922</v>
      </c>
      <c r="E1105" s="3">
        <v>42952</v>
      </c>
      <c r="G1105">
        <v>14928</v>
      </c>
      <c r="H1105">
        <v>17316.400000000001</v>
      </c>
      <c r="I1105" t="s">
        <v>56</v>
      </c>
    </row>
    <row r="1106" spans="1:9" x14ac:dyDescent="0.2">
      <c r="A1106" t="s">
        <v>41</v>
      </c>
      <c r="B1106" t="s">
        <v>10</v>
      </c>
      <c r="C1106" s="3">
        <v>42922</v>
      </c>
      <c r="D1106" s="3">
        <v>42922</v>
      </c>
      <c r="E1106" s="3">
        <v>42930</v>
      </c>
      <c r="G1106">
        <v>8413.1299999999992</v>
      </c>
      <c r="H1106">
        <v>9759.2000000000007</v>
      </c>
      <c r="I1106" t="s">
        <v>56</v>
      </c>
    </row>
    <row r="1107" spans="1:9" x14ac:dyDescent="0.2">
      <c r="A1107" t="s">
        <v>41</v>
      </c>
      <c r="B1107" t="s">
        <v>10</v>
      </c>
      <c r="C1107" s="3">
        <v>42922</v>
      </c>
      <c r="D1107" s="3">
        <v>42922</v>
      </c>
      <c r="E1107" s="3">
        <v>42930</v>
      </c>
      <c r="G1107">
        <v>43245.3</v>
      </c>
      <c r="H1107">
        <v>50164.6</v>
      </c>
      <c r="I1107" t="s">
        <v>56</v>
      </c>
    </row>
    <row r="1108" spans="1:9" x14ac:dyDescent="0.2">
      <c r="A1108" t="s">
        <v>41</v>
      </c>
      <c r="B1108" t="s">
        <v>10</v>
      </c>
      <c r="C1108" s="3">
        <v>42922</v>
      </c>
      <c r="D1108" s="3">
        <v>42922</v>
      </c>
      <c r="E1108" s="3">
        <v>42930</v>
      </c>
      <c r="G1108">
        <v>48727.9</v>
      </c>
      <c r="H1108">
        <v>56524.4</v>
      </c>
      <c r="I1108" t="s">
        <v>56</v>
      </c>
    </row>
    <row r="1109" spans="1:9" x14ac:dyDescent="0.2">
      <c r="A1109" t="s">
        <v>41</v>
      </c>
      <c r="B1109" t="s">
        <v>10</v>
      </c>
      <c r="C1109" s="3">
        <v>42922</v>
      </c>
      <c r="D1109" s="3">
        <v>42922</v>
      </c>
      <c r="E1109" s="3">
        <v>42930</v>
      </c>
      <c r="G1109">
        <v>53570.2</v>
      </c>
      <c r="H1109">
        <v>62141.5</v>
      </c>
      <c r="I1109" t="s">
        <v>56</v>
      </c>
    </row>
    <row r="1110" spans="1:9" x14ac:dyDescent="0.2">
      <c r="A1110" t="s">
        <v>20</v>
      </c>
      <c r="B1110" t="s">
        <v>10</v>
      </c>
      <c r="C1110" s="3">
        <v>42921</v>
      </c>
      <c r="D1110" s="3">
        <v>42921</v>
      </c>
      <c r="E1110" s="3">
        <v>42966</v>
      </c>
      <c r="G1110">
        <v>28200</v>
      </c>
      <c r="H1110">
        <v>32712</v>
      </c>
      <c r="I1110" t="s">
        <v>56</v>
      </c>
    </row>
    <row r="1111" spans="1:9" x14ac:dyDescent="0.2">
      <c r="A1111" t="s">
        <v>41</v>
      </c>
      <c r="B1111" t="s">
        <v>10</v>
      </c>
      <c r="C1111" s="3">
        <v>42914</v>
      </c>
      <c r="D1111" s="3">
        <v>42914</v>
      </c>
      <c r="E1111" s="3">
        <v>42922</v>
      </c>
      <c r="G1111">
        <v>48534.9</v>
      </c>
      <c r="H1111">
        <v>56300.5</v>
      </c>
      <c r="I1111" t="s">
        <v>56</v>
      </c>
    </row>
    <row r="1112" spans="1:9" x14ac:dyDescent="0.2">
      <c r="A1112" t="s">
        <v>18</v>
      </c>
      <c r="B1112" t="s">
        <v>10</v>
      </c>
      <c r="C1112" s="3">
        <v>42914</v>
      </c>
      <c r="D1112" s="3">
        <v>42914</v>
      </c>
      <c r="E1112" s="3">
        <v>42944</v>
      </c>
      <c r="G1112">
        <v>3040</v>
      </c>
      <c r="H1112">
        <v>3526.4</v>
      </c>
      <c r="I1112" t="s">
        <v>56</v>
      </c>
    </row>
    <row r="1113" spans="1:9" x14ac:dyDescent="0.2">
      <c r="A1113" t="s">
        <v>41</v>
      </c>
      <c r="B1113" t="s">
        <v>10</v>
      </c>
      <c r="C1113" s="3">
        <v>42913</v>
      </c>
      <c r="D1113" s="3">
        <v>42913</v>
      </c>
      <c r="E1113" s="3">
        <v>42921</v>
      </c>
      <c r="G1113">
        <v>2415.06</v>
      </c>
      <c r="H1113">
        <v>2801.52</v>
      </c>
      <c r="I1113" t="s">
        <v>56</v>
      </c>
    </row>
    <row r="1114" spans="1:9" x14ac:dyDescent="0.2">
      <c r="A1114" t="s">
        <v>41</v>
      </c>
      <c r="B1114" t="s">
        <v>14</v>
      </c>
      <c r="C1114" s="3">
        <v>42913</v>
      </c>
      <c r="D1114" s="3">
        <v>42913</v>
      </c>
      <c r="E1114" s="3">
        <v>42921</v>
      </c>
      <c r="F1114" s="3">
        <v>42913</v>
      </c>
      <c r="G1114">
        <v>2415.06</v>
      </c>
      <c r="H1114">
        <v>2801.52</v>
      </c>
      <c r="I1114">
        <v>3</v>
      </c>
    </row>
    <row r="1115" spans="1:9" x14ac:dyDescent="0.2">
      <c r="A1115" t="s">
        <v>41</v>
      </c>
      <c r="B1115" t="s">
        <v>10</v>
      </c>
      <c r="C1115" s="3">
        <v>42913</v>
      </c>
      <c r="D1115" s="3">
        <v>42913</v>
      </c>
      <c r="E1115" s="3">
        <v>42921</v>
      </c>
      <c r="G1115">
        <v>20070.5</v>
      </c>
      <c r="H1115">
        <v>23281.9</v>
      </c>
      <c r="I1115" t="s">
        <v>56</v>
      </c>
    </row>
    <row r="1116" spans="1:9" x14ac:dyDescent="0.2">
      <c r="A1116" t="s">
        <v>41</v>
      </c>
      <c r="B1116" t="s">
        <v>10</v>
      </c>
      <c r="C1116" s="3">
        <v>42912</v>
      </c>
      <c r="D1116" s="3">
        <v>42912</v>
      </c>
      <c r="E1116" s="3">
        <v>42920</v>
      </c>
      <c r="G1116">
        <v>14439.6</v>
      </c>
      <c r="H1116">
        <v>16749.900000000001</v>
      </c>
      <c r="I1116" t="s">
        <v>56</v>
      </c>
    </row>
    <row r="1117" spans="1:9" x14ac:dyDescent="0.2">
      <c r="A1117" t="s">
        <v>25</v>
      </c>
      <c r="B1117" t="s">
        <v>10</v>
      </c>
      <c r="C1117" s="3">
        <v>42912</v>
      </c>
      <c r="D1117" s="3">
        <v>42912</v>
      </c>
      <c r="E1117" s="3">
        <v>42942</v>
      </c>
      <c r="G1117">
        <v>12492</v>
      </c>
      <c r="H1117">
        <v>14490.7</v>
      </c>
      <c r="I1117" t="s">
        <v>56</v>
      </c>
    </row>
    <row r="1118" spans="1:9" x14ac:dyDescent="0.2">
      <c r="A1118" t="s">
        <v>59</v>
      </c>
      <c r="B1118" t="s">
        <v>10</v>
      </c>
      <c r="C1118" s="3">
        <v>42912</v>
      </c>
      <c r="D1118" s="3">
        <v>42912</v>
      </c>
      <c r="E1118" s="3">
        <v>42927</v>
      </c>
      <c r="G1118">
        <v>2950</v>
      </c>
      <c r="H1118">
        <v>3422</v>
      </c>
      <c r="I1118" t="s">
        <v>56</v>
      </c>
    </row>
    <row r="1119" spans="1:9" x14ac:dyDescent="0.2">
      <c r="A1119" t="s">
        <v>59</v>
      </c>
      <c r="B1119" t="s">
        <v>14</v>
      </c>
      <c r="C1119" s="3">
        <v>42909</v>
      </c>
      <c r="D1119" s="3">
        <v>42909</v>
      </c>
      <c r="E1119" s="3">
        <v>42924</v>
      </c>
      <c r="F1119" s="3">
        <v>42912</v>
      </c>
      <c r="G1119">
        <v>3200</v>
      </c>
      <c r="H1119">
        <v>3712</v>
      </c>
      <c r="I1119">
        <v>3</v>
      </c>
    </row>
    <row r="1120" spans="1:9" x14ac:dyDescent="0.2">
      <c r="A1120" t="s">
        <v>26</v>
      </c>
      <c r="B1120" t="s">
        <v>10</v>
      </c>
      <c r="C1120" s="3">
        <v>42909</v>
      </c>
      <c r="D1120" s="3">
        <v>42909</v>
      </c>
      <c r="E1120" s="3">
        <v>42916</v>
      </c>
      <c r="G1120">
        <v>249227</v>
      </c>
      <c r="H1120">
        <v>289103</v>
      </c>
      <c r="I1120" t="s">
        <v>56</v>
      </c>
    </row>
    <row r="1121" spans="1:9" x14ac:dyDescent="0.2">
      <c r="A1121" t="s">
        <v>18</v>
      </c>
      <c r="B1121" t="s">
        <v>10</v>
      </c>
      <c r="C1121" s="3">
        <v>42907</v>
      </c>
      <c r="D1121" s="3">
        <v>42907</v>
      </c>
      <c r="E1121" s="3">
        <v>42937</v>
      </c>
      <c r="G1121">
        <v>4840</v>
      </c>
      <c r="H1121">
        <v>5614.4</v>
      </c>
      <c r="I1121" t="s">
        <v>56</v>
      </c>
    </row>
    <row r="1122" spans="1:9" x14ac:dyDescent="0.2">
      <c r="A1122" t="s">
        <v>25</v>
      </c>
      <c r="B1122" t="s">
        <v>10</v>
      </c>
      <c r="C1122" s="3">
        <v>42902</v>
      </c>
      <c r="D1122" s="3">
        <v>42902</v>
      </c>
      <c r="E1122" s="3">
        <v>42932</v>
      </c>
      <c r="G1122">
        <v>456</v>
      </c>
      <c r="H1122">
        <v>528.96</v>
      </c>
      <c r="I1122" t="s">
        <v>56</v>
      </c>
    </row>
    <row r="1123" spans="1:9" x14ac:dyDescent="0.2">
      <c r="A1123" t="s">
        <v>54</v>
      </c>
      <c r="B1123" t="s">
        <v>10</v>
      </c>
      <c r="C1123" s="3">
        <v>42901</v>
      </c>
      <c r="D1123" s="3">
        <v>42901</v>
      </c>
      <c r="E1123" s="3">
        <v>42901</v>
      </c>
      <c r="G1123">
        <v>4336.8</v>
      </c>
      <c r="H1123">
        <v>5030.6899999999996</v>
      </c>
      <c r="I1123" t="s">
        <v>56</v>
      </c>
    </row>
    <row r="1124" spans="1:9" x14ac:dyDescent="0.2">
      <c r="A1124" t="s">
        <v>25</v>
      </c>
      <c r="B1124" t="s">
        <v>10</v>
      </c>
      <c r="C1124" s="3">
        <v>42901</v>
      </c>
      <c r="D1124" s="3">
        <v>42901</v>
      </c>
      <c r="E1124" s="3">
        <v>42931</v>
      </c>
      <c r="G1124">
        <v>10410</v>
      </c>
      <c r="H1124">
        <v>12075.6</v>
      </c>
      <c r="I1124" t="s">
        <v>56</v>
      </c>
    </row>
    <row r="1125" spans="1:9" x14ac:dyDescent="0.2">
      <c r="A1125" t="s">
        <v>41</v>
      </c>
      <c r="B1125" t="s">
        <v>10</v>
      </c>
      <c r="C1125" s="3">
        <v>42901</v>
      </c>
      <c r="D1125" s="3">
        <v>42900</v>
      </c>
      <c r="E1125" s="3">
        <v>42909</v>
      </c>
      <c r="G1125">
        <v>53187.6</v>
      </c>
      <c r="H1125">
        <v>61697.599999999999</v>
      </c>
      <c r="I1125" t="s">
        <v>56</v>
      </c>
    </row>
    <row r="1126" spans="1:9" x14ac:dyDescent="0.2">
      <c r="A1126" t="s">
        <v>18</v>
      </c>
      <c r="B1126" t="s">
        <v>10</v>
      </c>
      <c r="C1126" s="3">
        <v>42899</v>
      </c>
      <c r="D1126" s="3">
        <v>42899</v>
      </c>
      <c r="E1126" s="3">
        <v>42929</v>
      </c>
      <c r="G1126">
        <v>19655</v>
      </c>
      <c r="H1126">
        <v>22799.8</v>
      </c>
      <c r="I1126" t="s">
        <v>56</v>
      </c>
    </row>
    <row r="1127" spans="1:9" x14ac:dyDescent="0.2">
      <c r="A1127" t="s">
        <v>41</v>
      </c>
      <c r="B1127" t="s">
        <v>10</v>
      </c>
      <c r="C1127" s="3">
        <v>42899</v>
      </c>
      <c r="D1127" s="3">
        <v>42899</v>
      </c>
      <c r="E1127" s="3">
        <v>42907</v>
      </c>
      <c r="G1127">
        <v>9276.9</v>
      </c>
      <c r="H1127">
        <v>10761.2</v>
      </c>
      <c r="I1127" t="s">
        <v>56</v>
      </c>
    </row>
    <row r="1128" spans="1:9" x14ac:dyDescent="0.2">
      <c r="A1128" t="s">
        <v>41</v>
      </c>
      <c r="B1128" t="s">
        <v>10</v>
      </c>
      <c r="C1128" s="3">
        <v>42899</v>
      </c>
      <c r="D1128" s="3">
        <v>42899</v>
      </c>
      <c r="E1128" s="3">
        <v>42907</v>
      </c>
      <c r="G1128">
        <v>36297</v>
      </c>
      <c r="H1128">
        <v>42104.5</v>
      </c>
      <c r="I1128" t="s">
        <v>56</v>
      </c>
    </row>
    <row r="1129" spans="1:9" x14ac:dyDescent="0.2">
      <c r="A1129" t="s">
        <v>41</v>
      </c>
      <c r="B1129" t="s">
        <v>10</v>
      </c>
      <c r="C1129" s="3">
        <v>42898</v>
      </c>
      <c r="D1129" s="3">
        <v>42898</v>
      </c>
      <c r="E1129" s="3">
        <v>42906</v>
      </c>
      <c r="G1129">
        <v>7104.65</v>
      </c>
      <c r="H1129">
        <v>8241.34</v>
      </c>
      <c r="I1129" t="s">
        <v>56</v>
      </c>
    </row>
    <row r="1130" spans="1:9" x14ac:dyDescent="0.2">
      <c r="A1130" t="s">
        <v>41</v>
      </c>
      <c r="B1130" t="s">
        <v>10</v>
      </c>
      <c r="C1130" s="3">
        <v>42898</v>
      </c>
      <c r="D1130" s="3">
        <v>42898</v>
      </c>
      <c r="E1130" s="3">
        <v>42906</v>
      </c>
      <c r="G1130">
        <v>11493.3</v>
      </c>
      <c r="H1130">
        <v>13332.3</v>
      </c>
      <c r="I1130" t="s">
        <v>56</v>
      </c>
    </row>
    <row r="1131" spans="1:9" x14ac:dyDescent="0.2">
      <c r="A1131" t="s">
        <v>41</v>
      </c>
      <c r="B1131" t="s">
        <v>10</v>
      </c>
      <c r="C1131" s="3">
        <v>42895</v>
      </c>
      <c r="D1131" s="3">
        <v>42895</v>
      </c>
      <c r="E1131" s="3">
        <v>42903</v>
      </c>
      <c r="G1131">
        <v>7032.4</v>
      </c>
      <c r="H1131">
        <v>8157.56</v>
      </c>
      <c r="I1131" t="s">
        <v>56</v>
      </c>
    </row>
    <row r="1132" spans="1:9" x14ac:dyDescent="0.2">
      <c r="A1132" t="s">
        <v>25</v>
      </c>
      <c r="B1132" t="s">
        <v>10</v>
      </c>
      <c r="C1132" s="3">
        <v>42895</v>
      </c>
      <c r="D1132" s="3">
        <v>42895</v>
      </c>
      <c r="E1132" s="3">
        <v>42925</v>
      </c>
      <c r="G1132">
        <v>3605</v>
      </c>
      <c r="H1132">
        <v>4181.8</v>
      </c>
      <c r="I1132" t="s">
        <v>56</v>
      </c>
    </row>
    <row r="1133" spans="1:9" x14ac:dyDescent="0.2">
      <c r="A1133" t="s">
        <v>18</v>
      </c>
      <c r="B1133" t="s">
        <v>10</v>
      </c>
      <c r="C1133" s="3">
        <v>42894</v>
      </c>
      <c r="D1133" s="3">
        <v>42894</v>
      </c>
      <c r="E1133" s="3">
        <v>42924</v>
      </c>
      <c r="G1133">
        <v>4790</v>
      </c>
      <c r="H1133">
        <v>5556.4</v>
      </c>
      <c r="I1133" t="s">
        <v>56</v>
      </c>
    </row>
    <row r="1134" spans="1:9" x14ac:dyDescent="0.2">
      <c r="A1134" t="s">
        <v>41</v>
      </c>
      <c r="B1134" t="s">
        <v>10</v>
      </c>
      <c r="C1134" s="3">
        <v>42893</v>
      </c>
      <c r="D1134" s="3">
        <v>42893</v>
      </c>
      <c r="E1134" s="3">
        <v>42901</v>
      </c>
      <c r="G1134">
        <v>8271</v>
      </c>
      <c r="H1134">
        <v>9594.36</v>
      </c>
      <c r="I1134" t="s">
        <v>56</v>
      </c>
    </row>
    <row r="1135" spans="1:9" x14ac:dyDescent="0.2">
      <c r="A1135" t="s">
        <v>18</v>
      </c>
      <c r="B1135" t="s">
        <v>10</v>
      </c>
      <c r="C1135" s="3">
        <v>42892</v>
      </c>
      <c r="D1135" s="3">
        <v>42892</v>
      </c>
      <c r="E1135" s="3">
        <v>42922</v>
      </c>
      <c r="G1135">
        <v>3730</v>
      </c>
      <c r="H1135">
        <v>4326.8</v>
      </c>
      <c r="I1135" t="s">
        <v>56</v>
      </c>
    </row>
    <row r="1136" spans="1:9" x14ac:dyDescent="0.2">
      <c r="A1136" t="s">
        <v>26</v>
      </c>
      <c r="B1136" t="s">
        <v>10</v>
      </c>
      <c r="C1136" s="3">
        <v>42891</v>
      </c>
      <c r="D1136" s="3">
        <v>42891</v>
      </c>
      <c r="E1136" s="3">
        <v>42898</v>
      </c>
      <c r="G1136">
        <v>11613</v>
      </c>
      <c r="H1136">
        <v>13471</v>
      </c>
      <c r="I1136" t="s">
        <v>56</v>
      </c>
    </row>
    <row r="1137" spans="1:9" x14ac:dyDescent="0.2">
      <c r="A1137" t="s">
        <v>54</v>
      </c>
      <c r="B1137" t="s">
        <v>10</v>
      </c>
      <c r="C1137" s="3">
        <v>42891</v>
      </c>
      <c r="D1137" s="3">
        <v>42891</v>
      </c>
      <c r="E1137" s="3">
        <v>42891</v>
      </c>
      <c r="G1137">
        <v>1487.2</v>
      </c>
      <c r="H1137">
        <v>1725.15</v>
      </c>
      <c r="I1137" t="s">
        <v>56</v>
      </c>
    </row>
    <row r="1138" spans="1:9" x14ac:dyDescent="0.2">
      <c r="A1138" t="s">
        <v>41</v>
      </c>
      <c r="B1138" t="s">
        <v>10</v>
      </c>
      <c r="C1138" s="3">
        <v>42888</v>
      </c>
      <c r="D1138" s="3">
        <v>42888</v>
      </c>
      <c r="E1138" s="3">
        <v>42896</v>
      </c>
      <c r="G1138">
        <v>3588.48</v>
      </c>
      <c r="H1138">
        <v>4162.6400000000003</v>
      </c>
      <c r="I1138" t="s">
        <v>56</v>
      </c>
    </row>
    <row r="1139" spans="1:9" x14ac:dyDescent="0.2">
      <c r="A1139" t="s">
        <v>41</v>
      </c>
      <c r="B1139" t="s">
        <v>10</v>
      </c>
      <c r="C1139" s="3">
        <v>42888</v>
      </c>
      <c r="D1139" s="3">
        <v>42888</v>
      </c>
      <c r="E1139" s="3">
        <v>42896</v>
      </c>
      <c r="G1139">
        <v>32179.5</v>
      </c>
      <c r="H1139">
        <v>37328.199999999997</v>
      </c>
      <c r="I1139" t="s">
        <v>56</v>
      </c>
    </row>
    <row r="1140" spans="1:9" x14ac:dyDescent="0.2">
      <c r="A1140" t="s">
        <v>20</v>
      </c>
      <c r="B1140" t="s">
        <v>10</v>
      </c>
      <c r="C1140" s="3">
        <v>42887</v>
      </c>
      <c r="D1140" s="3">
        <v>42887</v>
      </c>
      <c r="E1140" s="3">
        <v>42932</v>
      </c>
      <c r="G1140">
        <v>33036</v>
      </c>
      <c r="H1140">
        <v>38321.699999999997</v>
      </c>
      <c r="I1140" t="s">
        <v>56</v>
      </c>
    </row>
    <row r="1141" spans="1:9" x14ac:dyDescent="0.2">
      <c r="A1141" t="s">
        <v>53</v>
      </c>
      <c r="B1141" t="s">
        <v>10</v>
      </c>
      <c r="C1141" s="3">
        <v>42886</v>
      </c>
      <c r="D1141" s="3">
        <v>42886</v>
      </c>
      <c r="E1141" s="3">
        <v>42916</v>
      </c>
      <c r="G1141">
        <v>4980</v>
      </c>
      <c r="H1141">
        <v>5776.8</v>
      </c>
      <c r="I1141" t="s">
        <v>56</v>
      </c>
    </row>
    <row r="1142" spans="1:9" x14ac:dyDescent="0.2">
      <c r="A1142" t="s">
        <v>13</v>
      </c>
      <c r="B1142" t="s">
        <v>10</v>
      </c>
      <c r="C1142" s="3">
        <v>42886</v>
      </c>
      <c r="D1142" s="3">
        <v>42886</v>
      </c>
      <c r="E1142" s="3">
        <v>42916</v>
      </c>
      <c r="G1142">
        <v>3300</v>
      </c>
      <c r="H1142">
        <v>3828</v>
      </c>
      <c r="I1142" t="s">
        <v>56</v>
      </c>
    </row>
    <row r="1143" spans="1:9" x14ac:dyDescent="0.2">
      <c r="A1143" t="s">
        <v>13</v>
      </c>
      <c r="B1143" t="s">
        <v>10</v>
      </c>
      <c r="C1143" s="3">
        <v>42886</v>
      </c>
      <c r="D1143" s="3">
        <v>42886</v>
      </c>
      <c r="E1143" s="3">
        <v>42916</v>
      </c>
      <c r="G1143">
        <v>5420</v>
      </c>
      <c r="H1143">
        <v>6287.2</v>
      </c>
      <c r="I1143" t="s">
        <v>56</v>
      </c>
    </row>
    <row r="1144" spans="1:9" x14ac:dyDescent="0.2">
      <c r="A1144" t="s">
        <v>44</v>
      </c>
      <c r="B1144" t="s">
        <v>10</v>
      </c>
      <c r="C1144" s="3">
        <v>42885</v>
      </c>
      <c r="D1144" s="3">
        <v>42885</v>
      </c>
      <c r="E1144" s="3">
        <v>42892</v>
      </c>
      <c r="G1144">
        <v>23358.7</v>
      </c>
      <c r="H1144">
        <v>27096.1</v>
      </c>
      <c r="I1144" t="s">
        <v>62</v>
      </c>
    </row>
    <row r="1145" spans="1:9" x14ac:dyDescent="0.2">
      <c r="A1145" t="s">
        <v>41</v>
      </c>
      <c r="B1145" t="s">
        <v>10</v>
      </c>
      <c r="C1145" s="3">
        <v>42881</v>
      </c>
      <c r="D1145" s="3">
        <v>42881</v>
      </c>
      <c r="E1145" s="3">
        <v>42889</v>
      </c>
      <c r="G1145">
        <v>3725.88</v>
      </c>
      <c r="H1145">
        <v>4321.9799999999996</v>
      </c>
      <c r="I1145" t="s">
        <v>56</v>
      </c>
    </row>
    <row r="1146" spans="1:9" x14ac:dyDescent="0.2">
      <c r="A1146" t="s">
        <v>22</v>
      </c>
      <c r="B1146" t="s">
        <v>10</v>
      </c>
      <c r="C1146" s="3">
        <v>42881</v>
      </c>
      <c r="D1146" s="3">
        <v>42881</v>
      </c>
      <c r="E1146" s="3">
        <v>42941</v>
      </c>
      <c r="G1146">
        <v>21306.6</v>
      </c>
      <c r="H1146">
        <v>24715.599999999999</v>
      </c>
      <c r="I1146" t="s">
        <v>56</v>
      </c>
    </row>
    <row r="1147" spans="1:9" x14ac:dyDescent="0.2">
      <c r="A1147" t="s">
        <v>18</v>
      </c>
      <c r="B1147" t="s">
        <v>10</v>
      </c>
      <c r="C1147" s="3">
        <v>42880</v>
      </c>
      <c r="D1147" s="3">
        <v>42880</v>
      </c>
      <c r="E1147" s="3">
        <v>42910</v>
      </c>
      <c r="G1147">
        <v>15080</v>
      </c>
      <c r="H1147">
        <v>17492.8</v>
      </c>
      <c r="I1147" t="s">
        <v>56</v>
      </c>
    </row>
    <row r="1148" spans="1:9" x14ac:dyDescent="0.2">
      <c r="A1148" t="s">
        <v>18</v>
      </c>
      <c r="B1148" t="s">
        <v>10</v>
      </c>
      <c r="C1148" s="3">
        <v>42880</v>
      </c>
      <c r="D1148" s="3">
        <v>42880</v>
      </c>
      <c r="E1148" s="3">
        <v>42910</v>
      </c>
      <c r="G1148">
        <v>38624</v>
      </c>
      <c r="H1148">
        <v>44803.8</v>
      </c>
      <c r="I1148" t="s">
        <v>56</v>
      </c>
    </row>
    <row r="1149" spans="1:9" x14ac:dyDescent="0.2">
      <c r="A1149" t="s">
        <v>18</v>
      </c>
      <c r="B1149" t="s">
        <v>14</v>
      </c>
      <c r="C1149" s="3">
        <v>42879</v>
      </c>
      <c r="D1149" s="3">
        <v>42879</v>
      </c>
      <c r="E1149" s="3">
        <v>42909</v>
      </c>
      <c r="F1149" s="3">
        <v>42880</v>
      </c>
      <c r="G1149">
        <v>53704</v>
      </c>
      <c r="H1149">
        <v>62296.6</v>
      </c>
      <c r="I1149">
        <v>3</v>
      </c>
    </row>
    <row r="1150" spans="1:9" x14ac:dyDescent="0.2">
      <c r="A1150" t="s">
        <v>22</v>
      </c>
      <c r="B1150" t="s">
        <v>10</v>
      </c>
      <c r="C1150" s="3">
        <v>42878</v>
      </c>
      <c r="D1150" s="3">
        <v>42878</v>
      </c>
      <c r="E1150" s="3">
        <v>42938</v>
      </c>
      <c r="G1150">
        <v>320</v>
      </c>
      <c r="H1150">
        <v>371.2</v>
      </c>
      <c r="I1150" t="s">
        <v>56</v>
      </c>
    </row>
    <row r="1151" spans="1:9" x14ac:dyDescent="0.2">
      <c r="A1151" t="s">
        <v>22</v>
      </c>
      <c r="B1151" t="s">
        <v>10</v>
      </c>
      <c r="C1151" s="3">
        <v>42878</v>
      </c>
      <c r="D1151" s="3">
        <v>42878</v>
      </c>
      <c r="E1151" s="3">
        <v>42938</v>
      </c>
      <c r="G1151">
        <v>85226.4</v>
      </c>
      <c r="H1151">
        <v>98862.6</v>
      </c>
      <c r="I1151" t="s">
        <v>56</v>
      </c>
    </row>
    <row r="1152" spans="1:9" x14ac:dyDescent="0.2">
      <c r="A1152" t="s">
        <v>22</v>
      </c>
      <c r="B1152" t="s">
        <v>10</v>
      </c>
      <c r="C1152" s="3">
        <v>42878</v>
      </c>
      <c r="D1152" s="3">
        <v>42878</v>
      </c>
      <c r="E1152" s="3">
        <v>42938</v>
      </c>
      <c r="G1152">
        <v>1200</v>
      </c>
      <c r="H1152">
        <v>1392</v>
      </c>
      <c r="I1152" t="s">
        <v>56</v>
      </c>
    </row>
    <row r="1153" spans="1:9" x14ac:dyDescent="0.2">
      <c r="A1153" t="s">
        <v>63</v>
      </c>
      <c r="B1153" t="s">
        <v>10</v>
      </c>
      <c r="C1153" s="3">
        <v>42878</v>
      </c>
      <c r="D1153" s="3">
        <v>42878</v>
      </c>
      <c r="E1153" s="3">
        <v>42885</v>
      </c>
      <c r="G1153">
        <v>24297</v>
      </c>
      <c r="H1153">
        <v>28184.5</v>
      </c>
      <c r="I1153" t="s">
        <v>56</v>
      </c>
    </row>
    <row r="1154" spans="1:9" x14ac:dyDescent="0.2">
      <c r="A1154" t="s">
        <v>25</v>
      </c>
      <c r="B1154" t="s">
        <v>10</v>
      </c>
      <c r="C1154" s="3">
        <v>42877</v>
      </c>
      <c r="D1154" s="3">
        <v>42877</v>
      </c>
      <c r="E1154" s="3">
        <v>42907</v>
      </c>
      <c r="G1154">
        <v>5609</v>
      </c>
      <c r="H1154">
        <v>6506.44</v>
      </c>
      <c r="I1154" t="s">
        <v>56</v>
      </c>
    </row>
    <row r="1155" spans="1:9" x14ac:dyDescent="0.2">
      <c r="A1155" t="s">
        <v>41</v>
      </c>
      <c r="B1155" t="s">
        <v>10</v>
      </c>
      <c r="C1155" s="3">
        <v>42877</v>
      </c>
      <c r="D1155" s="3">
        <v>42877</v>
      </c>
      <c r="E1155" s="3">
        <v>42885</v>
      </c>
      <c r="G1155">
        <v>26166.1</v>
      </c>
      <c r="H1155">
        <v>30352.7</v>
      </c>
      <c r="I1155" t="s">
        <v>56</v>
      </c>
    </row>
    <row r="1156" spans="1:9" x14ac:dyDescent="0.2">
      <c r="A1156" t="s">
        <v>39</v>
      </c>
      <c r="B1156" t="s">
        <v>10</v>
      </c>
      <c r="C1156" s="3">
        <v>42874</v>
      </c>
      <c r="D1156" s="3">
        <v>42874</v>
      </c>
      <c r="E1156" s="3">
        <v>42882</v>
      </c>
      <c r="G1156">
        <v>3006.99</v>
      </c>
      <c r="H1156">
        <v>3488.11</v>
      </c>
      <c r="I1156" t="s">
        <v>56</v>
      </c>
    </row>
    <row r="1157" spans="1:9" x14ac:dyDescent="0.2">
      <c r="A1157" t="s">
        <v>39</v>
      </c>
      <c r="B1157" t="s">
        <v>14</v>
      </c>
      <c r="C1157" s="3">
        <v>42874</v>
      </c>
      <c r="D1157" s="3">
        <v>42874</v>
      </c>
      <c r="E1157" s="3">
        <v>42882</v>
      </c>
      <c r="F1157" s="3">
        <v>42874</v>
      </c>
      <c r="G1157">
        <v>3006.94</v>
      </c>
      <c r="H1157">
        <v>3488.05</v>
      </c>
      <c r="I1157">
        <v>3</v>
      </c>
    </row>
    <row r="1158" spans="1:9" x14ac:dyDescent="0.2">
      <c r="A1158" t="s">
        <v>41</v>
      </c>
      <c r="B1158" t="s">
        <v>10</v>
      </c>
      <c r="C1158" s="3">
        <v>42872</v>
      </c>
      <c r="D1158" s="3">
        <v>42872</v>
      </c>
      <c r="E1158" s="3">
        <v>42880</v>
      </c>
      <c r="G1158">
        <v>52220.5</v>
      </c>
      <c r="H1158">
        <v>60575.9</v>
      </c>
      <c r="I1158" t="s">
        <v>56</v>
      </c>
    </row>
    <row r="1159" spans="1:9" x14ac:dyDescent="0.2">
      <c r="A1159" t="s">
        <v>25</v>
      </c>
      <c r="B1159" t="s">
        <v>10</v>
      </c>
      <c r="C1159" s="3">
        <v>42871</v>
      </c>
      <c r="D1159" s="3">
        <v>42871</v>
      </c>
      <c r="E1159" s="3">
        <v>42901</v>
      </c>
      <c r="G1159">
        <v>10410</v>
      </c>
      <c r="H1159">
        <v>12075.6</v>
      </c>
      <c r="I1159" t="s">
        <v>56</v>
      </c>
    </row>
    <row r="1160" spans="1:9" x14ac:dyDescent="0.2">
      <c r="A1160" t="s">
        <v>41</v>
      </c>
      <c r="B1160" t="s">
        <v>10</v>
      </c>
      <c r="C1160" s="3">
        <v>42871</v>
      </c>
      <c r="D1160" s="3">
        <v>42871</v>
      </c>
      <c r="E1160" s="3">
        <v>42879</v>
      </c>
      <c r="G1160">
        <v>4783.8</v>
      </c>
      <c r="H1160">
        <v>5549.21</v>
      </c>
      <c r="I1160" t="s">
        <v>56</v>
      </c>
    </row>
    <row r="1161" spans="1:9" x14ac:dyDescent="0.2">
      <c r="A1161" t="s">
        <v>41</v>
      </c>
      <c r="B1161" t="s">
        <v>10</v>
      </c>
      <c r="C1161" s="3">
        <v>42870</v>
      </c>
      <c r="D1161" s="3">
        <v>42870</v>
      </c>
      <c r="E1161" s="3">
        <v>42878</v>
      </c>
      <c r="G1161">
        <v>9043.2000000000007</v>
      </c>
      <c r="H1161">
        <v>10490.1</v>
      </c>
      <c r="I1161" t="s">
        <v>56</v>
      </c>
    </row>
    <row r="1162" spans="1:9" x14ac:dyDescent="0.2">
      <c r="A1162" t="s">
        <v>41</v>
      </c>
      <c r="B1162" t="s">
        <v>10</v>
      </c>
      <c r="C1162" s="3">
        <v>42870</v>
      </c>
      <c r="D1162" s="3">
        <v>42870</v>
      </c>
      <c r="E1162" s="3">
        <v>42878</v>
      </c>
      <c r="G1162">
        <v>1113.5999999999999</v>
      </c>
      <c r="H1162">
        <v>1291.78</v>
      </c>
      <c r="I1162" t="s">
        <v>56</v>
      </c>
    </row>
    <row r="1163" spans="1:9" x14ac:dyDescent="0.2">
      <c r="A1163" t="s">
        <v>41</v>
      </c>
      <c r="B1163" t="s">
        <v>10</v>
      </c>
      <c r="C1163" s="3">
        <v>42866</v>
      </c>
      <c r="D1163" s="3">
        <v>42866</v>
      </c>
      <c r="E1163" s="3">
        <v>42874</v>
      </c>
      <c r="G1163">
        <v>21186.799999999999</v>
      </c>
      <c r="H1163">
        <v>24576.7</v>
      </c>
      <c r="I1163" t="s">
        <v>56</v>
      </c>
    </row>
    <row r="1164" spans="1:9" x14ac:dyDescent="0.2">
      <c r="A1164" t="s">
        <v>13</v>
      </c>
      <c r="B1164" t="s">
        <v>10</v>
      </c>
      <c r="C1164" s="3">
        <v>42865</v>
      </c>
      <c r="D1164" s="3">
        <v>42865</v>
      </c>
      <c r="E1164" s="3">
        <v>42895</v>
      </c>
      <c r="G1164">
        <v>12838</v>
      </c>
      <c r="H1164">
        <v>14892</v>
      </c>
      <c r="I1164" t="s">
        <v>56</v>
      </c>
    </row>
    <row r="1165" spans="1:9" x14ac:dyDescent="0.2">
      <c r="A1165" t="s">
        <v>41</v>
      </c>
      <c r="B1165" t="s">
        <v>10</v>
      </c>
      <c r="C1165" s="3">
        <v>42864</v>
      </c>
      <c r="D1165" s="3">
        <v>42864</v>
      </c>
      <c r="E1165" s="3">
        <v>42872</v>
      </c>
      <c r="G1165">
        <v>14217.5</v>
      </c>
      <c r="H1165">
        <v>16492.3</v>
      </c>
      <c r="I1165" t="s">
        <v>56</v>
      </c>
    </row>
    <row r="1166" spans="1:9" x14ac:dyDescent="0.2">
      <c r="A1166" t="s">
        <v>41</v>
      </c>
      <c r="B1166" t="s">
        <v>10</v>
      </c>
      <c r="C1166" s="3">
        <v>42863</v>
      </c>
      <c r="D1166" s="3">
        <v>42863</v>
      </c>
      <c r="E1166" s="3">
        <v>42871</v>
      </c>
      <c r="G1166">
        <v>7901.08</v>
      </c>
      <c r="H1166">
        <v>9165.19</v>
      </c>
      <c r="I1166" t="s">
        <v>56</v>
      </c>
    </row>
    <row r="1167" spans="1:9" x14ac:dyDescent="0.2">
      <c r="A1167" t="s">
        <v>64</v>
      </c>
      <c r="B1167" t="s">
        <v>10</v>
      </c>
      <c r="C1167" s="3">
        <v>42863</v>
      </c>
      <c r="D1167" s="3">
        <v>42863</v>
      </c>
      <c r="E1167" s="3">
        <v>42878</v>
      </c>
      <c r="G1167">
        <v>6981</v>
      </c>
      <c r="H1167">
        <v>8097.96</v>
      </c>
      <c r="I1167" t="s">
        <v>56</v>
      </c>
    </row>
    <row r="1168" spans="1:9" x14ac:dyDescent="0.2">
      <c r="A1168" t="s">
        <v>64</v>
      </c>
      <c r="B1168" t="s">
        <v>14</v>
      </c>
      <c r="C1168" s="3">
        <v>42863</v>
      </c>
      <c r="D1168" s="3">
        <v>42863</v>
      </c>
      <c r="E1168" s="3">
        <v>42878</v>
      </c>
      <c r="F1168" s="3">
        <v>42863</v>
      </c>
      <c r="G1168">
        <v>6981</v>
      </c>
      <c r="H1168">
        <v>8097.96</v>
      </c>
      <c r="I1168">
        <v>3</v>
      </c>
    </row>
    <row r="1169" spans="1:9" x14ac:dyDescent="0.2">
      <c r="A1169" t="s">
        <v>41</v>
      </c>
      <c r="B1169" t="s">
        <v>10</v>
      </c>
      <c r="C1169" s="3">
        <v>42859</v>
      </c>
      <c r="D1169" s="3">
        <v>42859</v>
      </c>
      <c r="E1169" s="3">
        <v>42867</v>
      </c>
      <c r="G1169">
        <v>2831.83</v>
      </c>
      <c r="H1169">
        <v>3284.94</v>
      </c>
      <c r="I1169" t="s">
        <v>56</v>
      </c>
    </row>
    <row r="1170" spans="1:9" x14ac:dyDescent="0.2">
      <c r="A1170" t="s">
        <v>26</v>
      </c>
      <c r="B1170" t="s">
        <v>10</v>
      </c>
      <c r="C1170" s="3">
        <v>42857</v>
      </c>
      <c r="D1170" s="3">
        <v>42857</v>
      </c>
      <c r="E1170" s="3">
        <v>42864</v>
      </c>
      <c r="G1170">
        <v>46452</v>
      </c>
      <c r="H1170">
        <v>53884.3</v>
      </c>
      <c r="I1170" t="s">
        <v>56</v>
      </c>
    </row>
    <row r="1171" spans="1:9" x14ac:dyDescent="0.2">
      <c r="A1171" t="s">
        <v>65</v>
      </c>
      <c r="B1171" t="s">
        <v>10</v>
      </c>
      <c r="C1171" s="3">
        <v>42852</v>
      </c>
      <c r="D1171" s="3">
        <v>42852</v>
      </c>
      <c r="E1171" s="3">
        <v>42859</v>
      </c>
      <c r="G1171">
        <v>2380</v>
      </c>
      <c r="H1171">
        <v>2760.8</v>
      </c>
      <c r="I1171" t="s">
        <v>60</v>
      </c>
    </row>
    <row r="1172" spans="1:9" x14ac:dyDescent="0.2">
      <c r="A1172" t="s">
        <v>53</v>
      </c>
      <c r="B1172" t="s">
        <v>10</v>
      </c>
      <c r="C1172" s="3">
        <v>42852</v>
      </c>
      <c r="D1172" s="3">
        <v>42849</v>
      </c>
      <c r="E1172" s="3">
        <v>42882</v>
      </c>
      <c r="G1172">
        <v>4900</v>
      </c>
      <c r="H1172">
        <v>5684</v>
      </c>
      <c r="I1172" t="s">
        <v>56</v>
      </c>
    </row>
    <row r="1173" spans="1:9" x14ac:dyDescent="0.2">
      <c r="A1173" t="s">
        <v>18</v>
      </c>
      <c r="B1173" t="s">
        <v>10</v>
      </c>
      <c r="C1173" s="3">
        <v>42849</v>
      </c>
      <c r="D1173" s="3">
        <v>42849</v>
      </c>
      <c r="E1173" s="3">
        <v>42879</v>
      </c>
      <c r="G1173">
        <v>4120</v>
      </c>
      <c r="H1173">
        <v>4779.2</v>
      </c>
      <c r="I1173" t="s">
        <v>56</v>
      </c>
    </row>
    <row r="1174" spans="1:9" x14ac:dyDescent="0.2">
      <c r="A1174" t="s">
        <v>41</v>
      </c>
      <c r="B1174" t="s">
        <v>10</v>
      </c>
      <c r="C1174" s="3">
        <v>42846</v>
      </c>
      <c r="D1174" s="3">
        <v>42846</v>
      </c>
      <c r="E1174" s="3">
        <v>42854</v>
      </c>
      <c r="G1174">
        <v>31535.9</v>
      </c>
      <c r="H1174">
        <v>36581.599999999999</v>
      </c>
      <c r="I1174" t="s">
        <v>56</v>
      </c>
    </row>
    <row r="1175" spans="1:9" x14ac:dyDescent="0.2">
      <c r="A1175" t="s">
        <v>25</v>
      </c>
      <c r="B1175" t="s">
        <v>10</v>
      </c>
      <c r="C1175" s="3">
        <v>42845</v>
      </c>
      <c r="D1175" s="3">
        <v>42845</v>
      </c>
      <c r="E1175" s="3">
        <v>42875</v>
      </c>
      <c r="G1175">
        <v>10470</v>
      </c>
      <c r="H1175">
        <v>12145.2</v>
      </c>
      <c r="I1175" t="s">
        <v>56</v>
      </c>
    </row>
    <row r="1176" spans="1:9" x14ac:dyDescent="0.2">
      <c r="A1176" t="s">
        <v>18</v>
      </c>
      <c r="B1176" t="s">
        <v>10</v>
      </c>
      <c r="C1176" s="3">
        <v>42845</v>
      </c>
      <c r="D1176" s="3">
        <v>42845</v>
      </c>
      <c r="E1176" s="3">
        <v>42875</v>
      </c>
      <c r="G1176">
        <v>875</v>
      </c>
      <c r="H1176">
        <v>1015</v>
      </c>
      <c r="I1176" t="s">
        <v>56</v>
      </c>
    </row>
    <row r="1177" spans="1:9" x14ac:dyDescent="0.2">
      <c r="A1177" t="s">
        <v>41</v>
      </c>
      <c r="B1177" t="s">
        <v>14</v>
      </c>
      <c r="C1177" s="3">
        <v>42844</v>
      </c>
      <c r="D1177" s="3">
        <v>42844</v>
      </c>
      <c r="E1177" s="3">
        <v>42852</v>
      </c>
      <c r="F1177" s="3">
        <v>42844</v>
      </c>
      <c r="G1177">
        <v>6530.71</v>
      </c>
      <c r="H1177">
        <v>7575.64</v>
      </c>
      <c r="I1177">
        <v>3</v>
      </c>
    </row>
    <row r="1178" spans="1:9" x14ac:dyDescent="0.2">
      <c r="A1178" t="s">
        <v>41</v>
      </c>
      <c r="B1178" t="s">
        <v>10</v>
      </c>
      <c r="C1178" s="3">
        <v>42844</v>
      </c>
      <c r="D1178" s="3">
        <v>42844</v>
      </c>
      <c r="E1178" s="3">
        <v>42852</v>
      </c>
      <c r="G1178">
        <v>2497.8000000000002</v>
      </c>
      <c r="H1178">
        <v>2897.4</v>
      </c>
      <c r="I1178" t="s">
        <v>56</v>
      </c>
    </row>
    <row r="1179" spans="1:9" x14ac:dyDescent="0.2">
      <c r="A1179" t="s">
        <v>41</v>
      </c>
      <c r="B1179" t="s">
        <v>10</v>
      </c>
      <c r="C1179" s="3">
        <v>42844</v>
      </c>
      <c r="D1179" s="3">
        <v>42844</v>
      </c>
      <c r="E1179" s="3">
        <v>42852</v>
      </c>
      <c r="G1179">
        <v>9230.6299999999992</v>
      </c>
      <c r="H1179">
        <v>10707.4</v>
      </c>
      <c r="I1179" t="s">
        <v>56</v>
      </c>
    </row>
    <row r="1180" spans="1:9" x14ac:dyDescent="0.2">
      <c r="A1180" t="s">
        <v>13</v>
      </c>
      <c r="B1180" t="s">
        <v>10</v>
      </c>
      <c r="C1180" s="3">
        <v>42844</v>
      </c>
      <c r="D1180" s="3">
        <v>42844</v>
      </c>
      <c r="E1180" s="3">
        <v>42874</v>
      </c>
      <c r="G1180">
        <v>10686</v>
      </c>
      <c r="H1180">
        <v>12395.7</v>
      </c>
      <c r="I1180" t="s">
        <v>56</v>
      </c>
    </row>
    <row r="1181" spans="1:9" x14ac:dyDescent="0.2">
      <c r="A1181" t="s">
        <v>54</v>
      </c>
      <c r="B1181" t="s">
        <v>10</v>
      </c>
      <c r="C1181" s="3">
        <v>42842</v>
      </c>
      <c r="D1181" s="3">
        <v>42842</v>
      </c>
      <c r="E1181" s="3">
        <v>42842</v>
      </c>
      <c r="G1181">
        <v>975.52</v>
      </c>
      <c r="H1181">
        <v>1131.5999999999999</v>
      </c>
      <c r="I1181" t="s">
        <v>56</v>
      </c>
    </row>
    <row r="1182" spans="1:9" x14ac:dyDescent="0.2">
      <c r="A1182" t="s">
        <v>41</v>
      </c>
      <c r="B1182" t="s">
        <v>10</v>
      </c>
      <c r="C1182" s="3">
        <v>42836</v>
      </c>
      <c r="D1182" s="3">
        <v>42836</v>
      </c>
      <c r="E1182" s="3">
        <v>42844</v>
      </c>
      <c r="G1182">
        <v>18866</v>
      </c>
      <c r="H1182">
        <v>21884.6</v>
      </c>
      <c r="I1182" t="s">
        <v>56</v>
      </c>
    </row>
    <row r="1183" spans="1:9" x14ac:dyDescent="0.2">
      <c r="A1183" t="s">
        <v>41</v>
      </c>
      <c r="B1183" t="s">
        <v>10</v>
      </c>
      <c r="C1183" s="3">
        <v>42836</v>
      </c>
      <c r="D1183" s="3">
        <v>42836</v>
      </c>
      <c r="E1183" s="3">
        <v>42844</v>
      </c>
      <c r="G1183">
        <v>6565.89</v>
      </c>
      <c r="H1183">
        <v>7616.45</v>
      </c>
      <c r="I1183" t="s">
        <v>56</v>
      </c>
    </row>
    <row r="1184" spans="1:9" x14ac:dyDescent="0.2">
      <c r="A1184" t="s">
        <v>36</v>
      </c>
      <c r="B1184" t="s">
        <v>10</v>
      </c>
      <c r="C1184" s="3">
        <v>42836</v>
      </c>
      <c r="D1184" s="3">
        <v>42836</v>
      </c>
      <c r="E1184" s="3">
        <v>42851</v>
      </c>
      <c r="G1184">
        <v>1650</v>
      </c>
      <c r="H1184">
        <v>1914</v>
      </c>
      <c r="I1184" t="s">
        <v>56</v>
      </c>
    </row>
    <row r="1185" spans="1:9" x14ac:dyDescent="0.2">
      <c r="A1185" t="s">
        <v>18</v>
      </c>
      <c r="B1185" t="s">
        <v>10</v>
      </c>
      <c r="C1185" s="3">
        <v>42836</v>
      </c>
      <c r="D1185" s="3">
        <v>42836</v>
      </c>
      <c r="E1185" s="3">
        <v>42866</v>
      </c>
      <c r="G1185">
        <v>27249</v>
      </c>
      <c r="H1185">
        <v>31608.799999999999</v>
      </c>
      <c r="I1185" t="s">
        <v>56</v>
      </c>
    </row>
    <row r="1186" spans="1:9" x14ac:dyDescent="0.2">
      <c r="A1186" t="s">
        <v>22</v>
      </c>
      <c r="B1186" t="s">
        <v>10</v>
      </c>
      <c r="C1186" s="3">
        <v>42832</v>
      </c>
      <c r="D1186" s="3">
        <v>42832</v>
      </c>
      <c r="E1186" s="3">
        <v>42892</v>
      </c>
      <c r="G1186">
        <v>2920.32</v>
      </c>
      <c r="H1186">
        <v>3387.57</v>
      </c>
      <c r="I1186" t="s">
        <v>56</v>
      </c>
    </row>
    <row r="1187" spans="1:9" x14ac:dyDescent="0.2">
      <c r="A1187" t="s">
        <v>66</v>
      </c>
      <c r="B1187" t="s">
        <v>10</v>
      </c>
      <c r="C1187" s="3">
        <v>42831</v>
      </c>
      <c r="D1187" s="3">
        <v>42818</v>
      </c>
      <c r="E1187" s="3">
        <v>42831</v>
      </c>
      <c r="G1187">
        <v>1942</v>
      </c>
      <c r="H1187">
        <v>2252.7199999999998</v>
      </c>
      <c r="I1187" t="s">
        <v>56</v>
      </c>
    </row>
    <row r="1188" spans="1:9" x14ac:dyDescent="0.2">
      <c r="A1188" t="s">
        <v>41</v>
      </c>
      <c r="B1188" t="s">
        <v>10</v>
      </c>
      <c r="C1188" s="3">
        <v>42831</v>
      </c>
      <c r="D1188" s="3">
        <v>42831</v>
      </c>
      <c r="E1188" s="3">
        <v>42839</v>
      </c>
      <c r="G1188">
        <v>32082.5</v>
      </c>
      <c r="H1188">
        <v>37215.800000000003</v>
      </c>
      <c r="I1188" t="s">
        <v>56</v>
      </c>
    </row>
    <row r="1189" spans="1:9" x14ac:dyDescent="0.2">
      <c r="A1189" t="s">
        <v>25</v>
      </c>
      <c r="B1189" t="s">
        <v>10</v>
      </c>
      <c r="C1189" s="3">
        <v>42830</v>
      </c>
      <c r="D1189" s="3">
        <v>42830</v>
      </c>
      <c r="E1189" s="3">
        <v>42860</v>
      </c>
      <c r="G1189">
        <v>14897.9</v>
      </c>
      <c r="H1189">
        <v>17281.599999999999</v>
      </c>
      <c r="I1189" t="s">
        <v>56</v>
      </c>
    </row>
    <row r="1190" spans="1:9" x14ac:dyDescent="0.2">
      <c r="A1190" t="s">
        <v>41</v>
      </c>
      <c r="B1190" t="s">
        <v>10</v>
      </c>
      <c r="C1190" s="3">
        <v>42829</v>
      </c>
      <c r="D1190" s="3">
        <v>42829</v>
      </c>
      <c r="E1190" s="3">
        <v>42837</v>
      </c>
      <c r="G1190">
        <v>6354.4</v>
      </c>
      <c r="H1190">
        <v>7371.1</v>
      </c>
      <c r="I1190" t="s">
        <v>56</v>
      </c>
    </row>
    <row r="1191" spans="1:9" x14ac:dyDescent="0.2">
      <c r="A1191" t="s">
        <v>13</v>
      </c>
      <c r="B1191" t="s">
        <v>10</v>
      </c>
      <c r="C1191" s="3">
        <v>42828</v>
      </c>
      <c r="D1191" s="3">
        <v>42828</v>
      </c>
      <c r="E1191" s="3">
        <v>42858</v>
      </c>
      <c r="G1191">
        <v>2460</v>
      </c>
      <c r="H1191">
        <v>2853.6</v>
      </c>
      <c r="I1191" t="s">
        <v>56</v>
      </c>
    </row>
    <row r="1192" spans="1:9" x14ac:dyDescent="0.2">
      <c r="A1192" t="s">
        <v>41</v>
      </c>
      <c r="B1192" t="s">
        <v>10</v>
      </c>
      <c r="C1192" s="3">
        <v>42825</v>
      </c>
      <c r="D1192" s="3">
        <v>42825</v>
      </c>
      <c r="E1192" s="3">
        <v>42833</v>
      </c>
      <c r="G1192">
        <v>2586.85</v>
      </c>
      <c r="H1192">
        <v>3000.75</v>
      </c>
      <c r="I1192" t="s">
        <v>56</v>
      </c>
    </row>
    <row r="1193" spans="1:9" x14ac:dyDescent="0.2">
      <c r="A1193" t="s">
        <v>41</v>
      </c>
      <c r="B1193" t="s">
        <v>10</v>
      </c>
      <c r="C1193" s="3">
        <v>42825</v>
      </c>
      <c r="D1193" s="3">
        <v>42825</v>
      </c>
      <c r="E1193" s="3">
        <v>42833</v>
      </c>
      <c r="G1193">
        <v>4053.93</v>
      </c>
      <c r="H1193">
        <v>4702.5</v>
      </c>
      <c r="I1193" t="s">
        <v>56</v>
      </c>
    </row>
    <row r="1194" spans="1:9" x14ac:dyDescent="0.2">
      <c r="A1194" t="s">
        <v>18</v>
      </c>
      <c r="B1194" t="s">
        <v>10</v>
      </c>
      <c r="C1194" s="3">
        <v>42822</v>
      </c>
      <c r="D1194" s="3">
        <v>42822</v>
      </c>
      <c r="E1194" s="3">
        <v>42852</v>
      </c>
      <c r="G1194">
        <v>8446</v>
      </c>
      <c r="H1194">
        <v>9797.36</v>
      </c>
      <c r="I1194" t="s">
        <v>56</v>
      </c>
    </row>
    <row r="1195" spans="1:9" x14ac:dyDescent="0.2">
      <c r="A1195" t="s">
        <v>18</v>
      </c>
      <c r="B1195" t="s">
        <v>10</v>
      </c>
      <c r="C1195" s="3">
        <v>42822</v>
      </c>
      <c r="D1195" s="3">
        <v>42822</v>
      </c>
      <c r="E1195" s="3">
        <v>42852</v>
      </c>
      <c r="G1195">
        <v>27024</v>
      </c>
      <c r="H1195">
        <v>31347.8</v>
      </c>
      <c r="I1195" t="s">
        <v>56</v>
      </c>
    </row>
    <row r="1196" spans="1:9" x14ac:dyDescent="0.2">
      <c r="A1196" t="s">
        <v>41</v>
      </c>
      <c r="B1196" t="s">
        <v>10</v>
      </c>
      <c r="C1196" s="3">
        <v>42817</v>
      </c>
      <c r="D1196" s="3">
        <v>42817</v>
      </c>
      <c r="E1196" s="3">
        <v>42825</v>
      </c>
      <c r="G1196">
        <v>2995.68</v>
      </c>
      <c r="H1196">
        <v>3474.96</v>
      </c>
      <c r="I1196" t="s">
        <v>56</v>
      </c>
    </row>
    <row r="1197" spans="1:9" x14ac:dyDescent="0.2">
      <c r="A1197" t="s">
        <v>41</v>
      </c>
      <c r="B1197" t="s">
        <v>10</v>
      </c>
      <c r="C1197" s="3">
        <v>42817</v>
      </c>
      <c r="D1197" s="3">
        <v>42817</v>
      </c>
      <c r="E1197" s="3">
        <v>42825</v>
      </c>
      <c r="G1197">
        <v>7957.4</v>
      </c>
      <c r="H1197">
        <v>9230.51</v>
      </c>
      <c r="I1197" t="s">
        <v>56</v>
      </c>
    </row>
    <row r="1198" spans="1:9" x14ac:dyDescent="0.2">
      <c r="A1198" t="s">
        <v>18</v>
      </c>
      <c r="B1198" t="s">
        <v>10</v>
      </c>
      <c r="C1198" s="3">
        <v>42817</v>
      </c>
      <c r="D1198" s="3">
        <v>42817</v>
      </c>
      <c r="E1198" s="3">
        <v>42847</v>
      </c>
      <c r="G1198">
        <v>29480</v>
      </c>
      <c r="H1198">
        <v>34196.800000000003</v>
      </c>
      <c r="I1198" t="s">
        <v>56</v>
      </c>
    </row>
    <row r="1199" spans="1:9" x14ac:dyDescent="0.2">
      <c r="A1199" t="s">
        <v>18</v>
      </c>
      <c r="B1199" t="s">
        <v>10</v>
      </c>
      <c r="C1199" s="3">
        <v>42817</v>
      </c>
      <c r="D1199" s="3">
        <v>42817</v>
      </c>
      <c r="E1199" s="3">
        <v>42847</v>
      </c>
      <c r="G1199">
        <v>46016</v>
      </c>
      <c r="H1199">
        <v>53378.5</v>
      </c>
      <c r="I1199" t="s">
        <v>56</v>
      </c>
    </row>
    <row r="1200" spans="1:9" x14ac:dyDescent="0.2">
      <c r="A1200" t="s">
        <v>18</v>
      </c>
      <c r="B1200" t="s">
        <v>10</v>
      </c>
      <c r="C1200" s="3">
        <v>42816</v>
      </c>
      <c r="D1200" s="3">
        <v>42816</v>
      </c>
      <c r="E1200" s="3">
        <v>42846</v>
      </c>
      <c r="G1200">
        <v>2145</v>
      </c>
      <c r="H1200">
        <v>2488.1999999999998</v>
      </c>
      <c r="I1200" t="s">
        <v>56</v>
      </c>
    </row>
    <row r="1201" spans="1:9" x14ac:dyDescent="0.2">
      <c r="A1201" t="s">
        <v>66</v>
      </c>
      <c r="B1201" t="s">
        <v>10</v>
      </c>
      <c r="C1201" s="3">
        <v>42811</v>
      </c>
      <c r="D1201" s="3">
        <v>42811</v>
      </c>
      <c r="E1201" s="3">
        <v>42811</v>
      </c>
      <c r="G1201">
        <v>1400</v>
      </c>
      <c r="H1201">
        <v>1624</v>
      </c>
      <c r="I1201" t="s">
        <v>56</v>
      </c>
    </row>
    <row r="1202" spans="1:9" x14ac:dyDescent="0.2">
      <c r="A1202" t="s">
        <v>41</v>
      </c>
      <c r="B1202" t="s">
        <v>10</v>
      </c>
      <c r="C1202" s="3">
        <v>42811</v>
      </c>
      <c r="D1202" s="3">
        <v>42811</v>
      </c>
      <c r="E1202" s="3">
        <v>42819</v>
      </c>
      <c r="G1202">
        <v>24950.400000000001</v>
      </c>
      <c r="H1202">
        <v>28942.5</v>
      </c>
      <c r="I1202" t="s">
        <v>56</v>
      </c>
    </row>
    <row r="1203" spans="1:9" x14ac:dyDescent="0.2">
      <c r="A1203" t="s">
        <v>13</v>
      </c>
      <c r="B1203" t="s">
        <v>10</v>
      </c>
      <c r="C1203" s="3">
        <v>42810</v>
      </c>
      <c r="D1203" s="3">
        <v>42810</v>
      </c>
      <c r="E1203" s="3">
        <v>42840</v>
      </c>
      <c r="G1203">
        <v>5950</v>
      </c>
      <c r="H1203">
        <v>6902</v>
      </c>
      <c r="I1203" t="s">
        <v>56</v>
      </c>
    </row>
    <row r="1204" spans="1:9" x14ac:dyDescent="0.2">
      <c r="A1204" t="s">
        <v>18</v>
      </c>
      <c r="B1204" t="s">
        <v>10</v>
      </c>
      <c r="C1204" s="3">
        <v>42809</v>
      </c>
      <c r="D1204" s="3">
        <v>42809</v>
      </c>
      <c r="E1204" s="3">
        <v>42839</v>
      </c>
      <c r="G1204">
        <v>3676</v>
      </c>
      <c r="H1204">
        <v>4264.16</v>
      </c>
      <c r="I1204" t="s">
        <v>56</v>
      </c>
    </row>
    <row r="1205" spans="1:9" x14ac:dyDescent="0.2">
      <c r="A1205" t="s">
        <v>13</v>
      </c>
      <c r="B1205" t="s">
        <v>10</v>
      </c>
      <c r="C1205" s="3">
        <v>42809</v>
      </c>
      <c r="D1205" s="3">
        <v>42809</v>
      </c>
      <c r="E1205" s="3">
        <v>42839</v>
      </c>
      <c r="G1205">
        <v>2247</v>
      </c>
      <c r="H1205">
        <v>2606.52</v>
      </c>
      <c r="I1205" t="s">
        <v>56</v>
      </c>
    </row>
    <row r="1206" spans="1:9" x14ac:dyDescent="0.2">
      <c r="A1206" t="s">
        <v>67</v>
      </c>
      <c r="B1206" t="s">
        <v>10</v>
      </c>
      <c r="C1206" s="3">
        <v>42809</v>
      </c>
      <c r="D1206" s="3">
        <v>42809</v>
      </c>
      <c r="E1206" s="3">
        <v>42824</v>
      </c>
      <c r="G1206">
        <v>24160</v>
      </c>
      <c r="H1206">
        <v>28025.599999999999</v>
      </c>
      <c r="I1206" t="s">
        <v>56</v>
      </c>
    </row>
    <row r="1207" spans="1:9" x14ac:dyDescent="0.2">
      <c r="A1207" t="s">
        <v>41</v>
      </c>
      <c r="B1207" t="s">
        <v>10</v>
      </c>
      <c r="C1207" s="3">
        <v>42808</v>
      </c>
      <c r="D1207" s="3">
        <v>42808</v>
      </c>
      <c r="E1207" s="3">
        <v>42816</v>
      </c>
      <c r="G1207">
        <v>47088</v>
      </c>
      <c r="H1207">
        <v>54622</v>
      </c>
      <c r="I1207" t="s">
        <v>56</v>
      </c>
    </row>
    <row r="1208" spans="1:9" x14ac:dyDescent="0.2">
      <c r="A1208" t="s">
        <v>18</v>
      </c>
      <c r="B1208" t="s">
        <v>10</v>
      </c>
      <c r="C1208" s="3">
        <v>42808</v>
      </c>
      <c r="D1208" s="3">
        <v>42808</v>
      </c>
      <c r="E1208" s="3">
        <v>42838</v>
      </c>
      <c r="G1208">
        <v>2420</v>
      </c>
      <c r="H1208">
        <v>2807.2</v>
      </c>
      <c r="I1208" t="s">
        <v>56</v>
      </c>
    </row>
    <row r="1209" spans="1:9" x14ac:dyDescent="0.2">
      <c r="A1209" t="s">
        <v>18</v>
      </c>
      <c r="B1209" t="s">
        <v>10</v>
      </c>
      <c r="C1209" s="3">
        <v>42808</v>
      </c>
      <c r="D1209" s="3">
        <v>42808</v>
      </c>
      <c r="E1209" s="3">
        <v>42838</v>
      </c>
      <c r="G1209">
        <v>19328</v>
      </c>
      <c r="H1209">
        <v>22420.400000000001</v>
      </c>
      <c r="I1209" t="s">
        <v>56</v>
      </c>
    </row>
    <row r="1210" spans="1:9" x14ac:dyDescent="0.2">
      <c r="A1210" t="s">
        <v>41</v>
      </c>
      <c r="B1210" t="s">
        <v>10</v>
      </c>
      <c r="C1210" s="3">
        <v>42808</v>
      </c>
      <c r="D1210" s="3">
        <v>42808</v>
      </c>
      <c r="E1210" s="3">
        <v>42816</v>
      </c>
      <c r="G1210">
        <v>9408</v>
      </c>
      <c r="H1210">
        <v>10913.2</v>
      </c>
      <c r="I1210" t="s">
        <v>56</v>
      </c>
    </row>
    <row r="1211" spans="1:9" x14ac:dyDescent="0.2">
      <c r="A1211" t="s">
        <v>66</v>
      </c>
      <c r="B1211" t="s">
        <v>14</v>
      </c>
      <c r="C1211" s="3">
        <v>42807</v>
      </c>
      <c r="D1211" s="3">
        <v>42807</v>
      </c>
      <c r="E1211" s="3">
        <v>42807</v>
      </c>
      <c r="F1211" s="3">
        <v>42811</v>
      </c>
      <c r="G1211">
        <v>1124</v>
      </c>
      <c r="H1211">
        <v>1303.8399999999999</v>
      </c>
      <c r="I1211">
        <v>3</v>
      </c>
    </row>
    <row r="1212" spans="1:9" x14ac:dyDescent="0.2">
      <c r="A1212" t="s">
        <v>25</v>
      </c>
      <c r="B1212" t="s">
        <v>10</v>
      </c>
      <c r="C1212" s="3">
        <v>42807</v>
      </c>
      <c r="D1212" s="3">
        <v>42807</v>
      </c>
      <c r="E1212" s="3">
        <v>42837</v>
      </c>
      <c r="G1212">
        <v>30487.5</v>
      </c>
      <c r="H1212">
        <v>35365.5</v>
      </c>
      <c r="I1212" t="s">
        <v>56</v>
      </c>
    </row>
    <row r="1213" spans="1:9" x14ac:dyDescent="0.2">
      <c r="A1213" t="s">
        <v>43</v>
      </c>
      <c r="B1213" t="s">
        <v>10</v>
      </c>
      <c r="C1213" s="3">
        <v>42807</v>
      </c>
      <c r="D1213" s="3">
        <v>42807</v>
      </c>
      <c r="E1213" s="3">
        <v>42809</v>
      </c>
      <c r="G1213">
        <v>1416</v>
      </c>
      <c r="H1213">
        <v>1642.56</v>
      </c>
      <c r="I1213" t="s">
        <v>62</v>
      </c>
    </row>
    <row r="1214" spans="1:9" x14ac:dyDescent="0.2">
      <c r="A1214" t="s">
        <v>41</v>
      </c>
      <c r="B1214" t="s">
        <v>10</v>
      </c>
      <c r="C1214" s="3">
        <v>42804</v>
      </c>
      <c r="D1214" s="3">
        <v>42804</v>
      </c>
      <c r="E1214" s="3">
        <v>42812</v>
      </c>
      <c r="G1214">
        <v>33908</v>
      </c>
      <c r="H1214">
        <v>39333.199999999997</v>
      </c>
      <c r="I1214" t="s">
        <v>56</v>
      </c>
    </row>
    <row r="1215" spans="1:9" x14ac:dyDescent="0.2">
      <c r="A1215" t="s">
        <v>13</v>
      </c>
      <c r="B1215" t="s">
        <v>10</v>
      </c>
      <c r="C1215" s="3">
        <v>42800</v>
      </c>
      <c r="D1215" s="3">
        <v>42800</v>
      </c>
      <c r="E1215" s="3">
        <v>42830</v>
      </c>
      <c r="G1215">
        <v>4494</v>
      </c>
      <c r="H1215">
        <v>5213.04</v>
      </c>
      <c r="I1215" t="s">
        <v>56</v>
      </c>
    </row>
    <row r="1216" spans="1:9" x14ac:dyDescent="0.2">
      <c r="A1216" t="s">
        <v>18</v>
      </c>
      <c r="B1216" t="s">
        <v>10</v>
      </c>
      <c r="C1216" s="3">
        <v>42797</v>
      </c>
      <c r="D1216" s="3">
        <v>42797</v>
      </c>
      <c r="E1216" s="3">
        <v>42827</v>
      </c>
      <c r="G1216">
        <v>3872</v>
      </c>
      <c r="H1216">
        <v>4491.5200000000004</v>
      </c>
      <c r="I1216" t="s">
        <v>56</v>
      </c>
    </row>
    <row r="1217" spans="1:9" x14ac:dyDescent="0.2">
      <c r="A1217" t="s">
        <v>18</v>
      </c>
      <c r="B1217" t="s">
        <v>14</v>
      </c>
      <c r="C1217" s="3">
        <v>42797</v>
      </c>
      <c r="D1217" s="3">
        <v>42797</v>
      </c>
      <c r="E1217" s="3">
        <v>42827</v>
      </c>
      <c r="F1217" s="3">
        <v>42797</v>
      </c>
      <c r="G1217">
        <v>3872</v>
      </c>
      <c r="H1217">
        <v>4491.5200000000004</v>
      </c>
      <c r="I1217">
        <v>3</v>
      </c>
    </row>
    <row r="1218" spans="1:9" x14ac:dyDescent="0.2">
      <c r="A1218" t="s">
        <v>36</v>
      </c>
      <c r="B1218" t="s">
        <v>10</v>
      </c>
      <c r="C1218" s="3">
        <v>42797</v>
      </c>
      <c r="D1218" s="3">
        <v>42797</v>
      </c>
      <c r="E1218" s="3">
        <v>42812</v>
      </c>
      <c r="G1218">
        <v>5680</v>
      </c>
      <c r="H1218">
        <v>6588.8</v>
      </c>
      <c r="I1218" t="s">
        <v>56</v>
      </c>
    </row>
    <row r="1219" spans="1:9" x14ac:dyDescent="0.2">
      <c r="A1219" t="s">
        <v>41</v>
      </c>
      <c r="B1219" t="s">
        <v>10</v>
      </c>
      <c r="C1219" s="3">
        <v>42797</v>
      </c>
      <c r="D1219" s="3">
        <v>42797</v>
      </c>
      <c r="E1219" s="3">
        <v>42805</v>
      </c>
      <c r="G1219">
        <v>4759.2</v>
      </c>
      <c r="H1219">
        <v>5520.67</v>
      </c>
      <c r="I1219" t="s">
        <v>56</v>
      </c>
    </row>
    <row r="1220" spans="1:9" x14ac:dyDescent="0.2">
      <c r="A1220" t="s">
        <v>18</v>
      </c>
      <c r="B1220" t="s">
        <v>10</v>
      </c>
      <c r="C1220" s="3">
        <v>42795</v>
      </c>
      <c r="D1220" s="3">
        <v>42795</v>
      </c>
      <c r="E1220" s="3">
        <v>42825</v>
      </c>
      <c r="G1220">
        <v>8942</v>
      </c>
      <c r="H1220">
        <v>10372.700000000001</v>
      </c>
      <c r="I1220" t="s">
        <v>56</v>
      </c>
    </row>
    <row r="1221" spans="1:9" x14ac:dyDescent="0.2">
      <c r="A1221" t="s">
        <v>25</v>
      </c>
      <c r="B1221" t="s">
        <v>10</v>
      </c>
      <c r="C1221" s="3">
        <v>42795</v>
      </c>
      <c r="D1221" s="3">
        <v>42795</v>
      </c>
      <c r="E1221" s="3">
        <v>42825</v>
      </c>
      <c r="G1221">
        <v>3930</v>
      </c>
      <c r="H1221">
        <v>4558.8</v>
      </c>
      <c r="I1221" t="s">
        <v>56</v>
      </c>
    </row>
    <row r="1222" spans="1:9" x14ac:dyDescent="0.2">
      <c r="A1222" t="s">
        <v>41</v>
      </c>
      <c r="B1222" t="s">
        <v>10</v>
      </c>
      <c r="C1222" s="3">
        <v>42794</v>
      </c>
      <c r="D1222" s="3">
        <v>42794</v>
      </c>
      <c r="E1222" s="3">
        <v>42802</v>
      </c>
      <c r="G1222">
        <v>70198.2</v>
      </c>
      <c r="H1222">
        <v>81429.899999999994</v>
      </c>
      <c r="I1222" t="s">
        <v>56</v>
      </c>
    </row>
    <row r="1223" spans="1:9" x14ac:dyDescent="0.2">
      <c r="A1223" t="s">
        <v>41</v>
      </c>
      <c r="B1223" t="s">
        <v>10</v>
      </c>
      <c r="C1223" s="3">
        <v>42794</v>
      </c>
      <c r="D1223" s="3">
        <v>42794</v>
      </c>
      <c r="E1223" s="3">
        <v>42802</v>
      </c>
      <c r="G1223">
        <v>53541</v>
      </c>
      <c r="H1223">
        <v>62107.5</v>
      </c>
      <c r="I1223" t="s">
        <v>56</v>
      </c>
    </row>
    <row r="1224" spans="1:9" x14ac:dyDescent="0.2">
      <c r="A1224" t="s">
        <v>41</v>
      </c>
      <c r="B1224" t="s">
        <v>10</v>
      </c>
      <c r="C1224" s="3">
        <v>42794</v>
      </c>
      <c r="D1224" s="3">
        <v>42794</v>
      </c>
      <c r="E1224" s="3">
        <v>42802</v>
      </c>
      <c r="G1224">
        <v>1592.8</v>
      </c>
      <c r="H1224">
        <v>1847.65</v>
      </c>
      <c r="I1224">
        <v>3</v>
      </c>
    </row>
    <row r="1225" spans="1:9" x14ac:dyDescent="0.2">
      <c r="A1225" t="s">
        <v>18</v>
      </c>
      <c r="B1225" t="s">
        <v>10</v>
      </c>
      <c r="C1225" s="3">
        <v>42793</v>
      </c>
      <c r="D1225" s="3">
        <v>42793</v>
      </c>
      <c r="E1225" s="3">
        <v>42823</v>
      </c>
      <c r="G1225">
        <v>4303</v>
      </c>
      <c r="H1225">
        <v>4991.4799999999996</v>
      </c>
      <c r="I1225">
        <v>3</v>
      </c>
    </row>
    <row r="1226" spans="1:9" x14ac:dyDescent="0.2">
      <c r="A1226" t="s">
        <v>13</v>
      </c>
      <c r="B1226" t="s">
        <v>10</v>
      </c>
      <c r="C1226" s="3">
        <v>42793</v>
      </c>
      <c r="D1226" s="3">
        <v>42793</v>
      </c>
      <c r="E1226" s="3">
        <v>42823</v>
      </c>
      <c r="G1226">
        <v>854</v>
      </c>
      <c r="H1226">
        <v>990.64</v>
      </c>
      <c r="I1226">
        <v>3</v>
      </c>
    </row>
    <row r="1227" spans="1:9" x14ac:dyDescent="0.2">
      <c r="A1227" t="s">
        <v>22</v>
      </c>
      <c r="B1227" t="s">
        <v>10</v>
      </c>
      <c r="C1227" s="3">
        <v>42790</v>
      </c>
      <c r="D1227" s="3">
        <v>42787</v>
      </c>
      <c r="E1227" s="3">
        <v>42850</v>
      </c>
      <c r="G1227">
        <v>79480.7</v>
      </c>
      <c r="H1227">
        <v>92197.6</v>
      </c>
      <c r="I1227">
        <v>3</v>
      </c>
    </row>
    <row r="1228" spans="1:9" x14ac:dyDescent="0.2">
      <c r="A1228" t="s">
        <v>41</v>
      </c>
      <c r="B1228" t="s">
        <v>10</v>
      </c>
      <c r="C1228" s="3">
        <v>42790</v>
      </c>
      <c r="D1228" s="3">
        <v>42790</v>
      </c>
      <c r="E1228" s="3">
        <v>42798</v>
      </c>
      <c r="G1228">
        <v>46410.2</v>
      </c>
      <c r="H1228">
        <v>53835.8</v>
      </c>
      <c r="I1228">
        <v>3</v>
      </c>
    </row>
    <row r="1229" spans="1:9" x14ac:dyDescent="0.2">
      <c r="A1229" t="s">
        <v>20</v>
      </c>
      <c r="B1229" t="s">
        <v>10</v>
      </c>
      <c r="C1229" s="3">
        <v>42789</v>
      </c>
      <c r="D1229" s="3">
        <v>42789</v>
      </c>
      <c r="E1229" s="3">
        <v>42834</v>
      </c>
      <c r="G1229">
        <v>15822</v>
      </c>
      <c r="H1229">
        <v>18353.5</v>
      </c>
      <c r="I1229">
        <v>3</v>
      </c>
    </row>
    <row r="1230" spans="1:9" x14ac:dyDescent="0.2">
      <c r="A1230" t="s">
        <v>41</v>
      </c>
      <c r="B1230" t="s">
        <v>10</v>
      </c>
      <c r="C1230" s="3">
        <v>42788</v>
      </c>
      <c r="D1230" s="3">
        <v>42788</v>
      </c>
      <c r="E1230" s="3">
        <v>42796</v>
      </c>
      <c r="G1230">
        <v>12123.5</v>
      </c>
      <c r="H1230">
        <v>14063.3</v>
      </c>
      <c r="I1230">
        <v>3</v>
      </c>
    </row>
    <row r="1231" spans="1:9" x14ac:dyDescent="0.2">
      <c r="A1231" t="s">
        <v>25</v>
      </c>
      <c r="B1231" t="s">
        <v>10</v>
      </c>
      <c r="C1231" s="3">
        <v>42788</v>
      </c>
      <c r="D1231" s="3">
        <v>42788</v>
      </c>
      <c r="E1231" s="3">
        <v>42818</v>
      </c>
      <c r="G1231">
        <v>17040</v>
      </c>
      <c r="H1231">
        <v>19766.400000000001</v>
      </c>
      <c r="I1231">
        <v>3</v>
      </c>
    </row>
    <row r="1232" spans="1:9" x14ac:dyDescent="0.2">
      <c r="A1232" t="s">
        <v>41</v>
      </c>
      <c r="B1232" t="s">
        <v>10</v>
      </c>
      <c r="C1232" s="3">
        <v>42788</v>
      </c>
      <c r="D1232" s="3">
        <v>42788</v>
      </c>
      <c r="E1232" s="3">
        <v>42796</v>
      </c>
      <c r="G1232">
        <v>24098.3</v>
      </c>
      <c r="H1232">
        <v>27954.1</v>
      </c>
      <c r="I1232">
        <v>3</v>
      </c>
    </row>
    <row r="1233" spans="1:9" x14ac:dyDescent="0.2">
      <c r="A1233" t="s">
        <v>41</v>
      </c>
      <c r="B1233" t="s">
        <v>14</v>
      </c>
      <c r="C1233" s="3">
        <v>42788</v>
      </c>
      <c r="D1233" s="3">
        <v>42788</v>
      </c>
      <c r="E1233" s="3">
        <v>42796</v>
      </c>
      <c r="F1233" s="3">
        <v>42788</v>
      </c>
      <c r="G1233">
        <v>24240.6</v>
      </c>
      <c r="H1233">
        <v>28119.1</v>
      </c>
      <c r="I1233">
        <v>3</v>
      </c>
    </row>
    <row r="1234" spans="1:9" x14ac:dyDescent="0.2">
      <c r="A1234" t="s">
        <v>39</v>
      </c>
      <c r="B1234" t="s">
        <v>10</v>
      </c>
      <c r="C1234" s="3">
        <v>42783</v>
      </c>
      <c r="D1234" s="3">
        <v>42783</v>
      </c>
      <c r="E1234" s="3">
        <v>42791</v>
      </c>
      <c r="G1234">
        <v>1631</v>
      </c>
      <c r="H1234">
        <v>1891.96</v>
      </c>
      <c r="I1234">
        <v>3</v>
      </c>
    </row>
    <row r="1235" spans="1:9" x14ac:dyDescent="0.2">
      <c r="A1235" t="s">
        <v>20</v>
      </c>
      <c r="B1235" t="s">
        <v>10</v>
      </c>
      <c r="C1235" s="3">
        <v>42782</v>
      </c>
      <c r="D1235" s="3">
        <v>42782</v>
      </c>
      <c r="E1235" s="3">
        <v>42827</v>
      </c>
      <c r="G1235">
        <v>15134</v>
      </c>
      <c r="H1235">
        <v>17555.400000000001</v>
      </c>
      <c r="I1235">
        <v>3</v>
      </c>
    </row>
    <row r="1236" spans="1:9" x14ac:dyDescent="0.2">
      <c r="A1236" t="s">
        <v>18</v>
      </c>
      <c r="B1236" t="s">
        <v>10</v>
      </c>
      <c r="C1236" s="3">
        <v>42781</v>
      </c>
      <c r="D1236" s="3">
        <v>42781</v>
      </c>
      <c r="E1236" s="3">
        <v>42811</v>
      </c>
      <c r="G1236">
        <v>9912</v>
      </c>
      <c r="H1236">
        <v>11497.9</v>
      </c>
      <c r="I1236">
        <v>3</v>
      </c>
    </row>
    <row r="1237" spans="1:9" x14ac:dyDescent="0.2">
      <c r="A1237" t="s">
        <v>9</v>
      </c>
      <c r="B1237" t="s">
        <v>10</v>
      </c>
      <c r="C1237" s="3">
        <v>42780</v>
      </c>
      <c r="D1237" s="3">
        <v>42780</v>
      </c>
      <c r="E1237" s="3">
        <v>42787</v>
      </c>
      <c r="G1237">
        <v>15882</v>
      </c>
      <c r="H1237">
        <v>18423.099999999999</v>
      </c>
      <c r="I1237">
        <v>3</v>
      </c>
    </row>
    <row r="1238" spans="1:9" x14ac:dyDescent="0.2">
      <c r="A1238" t="s">
        <v>20</v>
      </c>
      <c r="B1238" t="s">
        <v>14</v>
      </c>
      <c r="C1238" s="3">
        <v>42779</v>
      </c>
      <c r="D1238" s="3">
        <v>42779</v>
      </c>
      <c r="E1238" s="3">
        <v>42824</v>
      </c>
      <c r="F1238" s="3">
        <v>42779</v>
      </c>
      <c r="G1238">
        <v>2055.04</v>
      </c>
      <c r="H1238">
        <v>2383.85</v>
      </c>
      <c r="I1238">
        <v>3</v>
      </c>
    </row>
    <row r="1239" spans="1:9" x14ac:dyDescent="0.2">
      <c r="A1239" t="s">
        <v>13</v>
      </c>
      <c r="B1239" t="s">
        <v>10</v>
      </c>
      <c r="C1239" s="3">
        <v>42776</v>
      </c>
      <c r="D1239" s="3">
        <v>42776</v>
      </c>
      <c r="E1239" s="3">
        <v>42806</v>
      </c>
      <c r="G1239">
        <v>6846</v>
      </c>
      <c r="H1239">
        <v>7941.36</v>
      </c>
      <c r="I1239">
        <v>3</v>
      </c>
    </row>
    <row r="1240" spans="1:9" x14ac:dyDescent="0.2">
      <c r="A1240" t="s">
        <v>20</v>
      </c>
      <c r="B1240" t="s">
        <v>14</v>
      </c>
      <c r="C1240" s="3">
        <v>42776</v>
      </c>
      <c r="D1240" s="3">
        <v>42776</v>
      </c>
      <c r="E1240" s="3">
        <v>42821</v>
      </c>
      <c r="F1240" s="3">
        <v>42782</v>
      </c>
      <c r="G1240">
        <v>15170</v>
      </c>
      <c r="H1240">
        <v>17597.2</v>
      </c>
      <c r="I1240">
        <v>3</v>
      </c>
    </row>
    <row r="1241" spans="1:9" x14ac:dyDescent="0.2">
      <c r="A1241" t="s">
        <v>18</v>
      </c>
      <c r="B1241" t="s">
        <v>10</v>
      </c>
      <c r="C1241" s="3">
        <v>42775</v>
      </c>
      <c r="D1241" s="3">
        <v>42775</v>
      </c>
      <c r="E1241" s="3">
        <v>42805</v>
      </c>
      <c r="G1241">
        <v>23616</v>
      </c>
      <c r="H1241">
        <v>27394.5</v>
      </c>
      <c r="I1241">
        <v>3</v>
      </c>
    </row>
    <row r="1242" spans="1:9" x14ac:dyDescent="0.2">
      <c r="A1242" t="s">
        <v>41</v>
      </c>
      <c r="B1242" t="s">
        <v>10</v>
      </c>
      <c r="C1242" s="3">
        <v>42773</v>
      </c>
      <c r="D1242" s="3">
        <v>42773</v>
      </c>
      <c r="E1242" s="3">
        <v>42781</v>
      </c>
      <c r="G1242">
        <v>9328.5</v>
      </c>
      <c r="H1242">
        <v>10821</v>
      </c>
      <c r="I1242">
        <v>3</v>
      </c>
    </row>
    <row r="1243" spans="1:9" x14ac:dyDescent="0.2">
      <c r="A1243" t="s">
        <v>41</v>
      </c>
      <c r="B1243" t="s">
        <v>10</v>
      </c>
      <c r="C1243" s="3">
        <v>42773</v>
      </c>
      <c r="D1243" s="3">
        <v>42773</v>
      </c>
      <c r="E1243" s="3">
        <v>42781</v>
      </c>
      <c r="G1243">
        <v>3731.4</v>
      </c>
      <c r="H1243">
        <v>4328.42</v>
      </c>
      <c r="I1243">
        <v>3</v>
      </c>
    </row>
    <row r="1244" spans="1:9" x14ac:dyDescent="0.2">
      <c r="A1244" t="s">
        <v>41</v>
      </c>
      <c r="B1244" t="s">
        <v>10</v>
      </c>
      <c r="C1244" s="3">
        <v>42773</v>
      </c>
      <c r="D1244" s="3">
        <v>42773</v>
      </c>
      <c r="E1244" s="3">
        <v>42781</v>
      </c>
      <c r="G1244">
        <v>31712.799999999999</v>
      </c>
      <c r="H1244">
        <v>36786.800000000003</v>
      </c>
      <c r="I1244">
        <v>3</v>
      </c>
    </row>
    <row r="1245" spans="1:9" x14ac:dyDescent="0.2">
      <c r="A1245" t="s">
        <v>25</v>
      </c>
      <c r="B1245" t="s">
        <v>10</v>
      </c>
      <c r="C1245" s="3">
        <v>42769</v>
      </c>
      <c r="D1245" s="3">
        <v>42769</v>
      </c>
      <c r="E1245" s="3">
        <v>42799</v>
      </c>
      <c r="G1245">
        <v>19442</v>
      </c>
      <c r="H1245">
        <v>22552.7</v>
      </c>
      <c r="I1245">
        <v>3</v>
      </c>
    </row>
    <row r="1246" spans="1:9" x14ac:dyDescent="0.2">
      <c r="A1246" t="s">
        <v>25</v>
      </c>
      <c r="B1246" t="s">
        <v>10</v>
      </c>
      <c r="C1246" s="3">
        <v>42769</v>
      </c>
      <c r="D1246" s="3">
        <v>42769</v>
      </c>
      <c r="E1246" s="3">
        <v>42799</v>
      </c>
      <c r="G1246">
        <v>7305</v>
      </c>
      <c r="H1246">
        <v>8473.7999999999993</v>
      </c>
      <c r="I1246">
        <v>3</v>
      </c>
    </row>
    <row r="1247" spans="1:9" x14ac:dyDescent="0.2">
      <c r="A1247" t="s">
        <v>17</v>
      </c>
      <c r="B1247" t="s">
        <v>10</v>
      </c>
      <c r="C1247" s="3">
        <v>42768</v>
      </c>
      <c r="D1247" s="3">
        <v>42768</v>
      </c>
      <c r="E1247" s="3">
        <v>42813</v>
      </c>
      <c r="G1247">
        <v>23388.7</v>
      </c>
      <c r="H1247">
        <v>27130.9</v>
      </c>
      <c r="I1247">
        <v>3</v>
      </c>
    </row>
    <row r="1248" spans="1:9" x14ac:dyDescent="0.2">
      <c r="A1248" t="s">
        <v>41</v>
      </c>
      <c r="B1248" t="s">
        <v>10</v>
      </c>
      <c r="C1248" s="3">
        <v>42766</v>
      </c>
      <c r="D1248" s="3">
        <v>42766</v>
      </c>
      <c r="E1248" s="3">
        <v>42774</v>
      </c>
      <c r="G1248">
        <v>16605.8</v>
      </c>
      <c r="H1248">
        <v>19262.7</v>
      </c>
      <c r="I1248">
        <v>3</v>
      </c>
    </row>
    <row r="1249" spans="1:9" x14ac:dyDescent="0.2">
      <c r="A1249" t="s">
        <v>18</v>
      </c>
      <c r="B1249" t="s">
        <v>10</v>
      </c>
      <c r="C1249" s="3">
        <v>42765</v>
      </c>
      <c r="D1249" s="3">
        <v>42765</v>
      </c>
      <c r="E1249" s="3">
        <v>42795</v>
      </c>
      <c r="G1249">
        <v>1930</v>
      </c>
      <c r="H1249">
        <v>2238.8000000000002</v>
      </c>
      <c r="I1249">
        <v>3</v>
      </c>
    </row>
    <row r="1250" spans="1:9" x14ac:dyDescent="0.2">
      <c r="A1250" t="s">
        <v>18</v>
      </c>
      <c r="B1250" t="s">
        <v>10</v>
      </c>
      <c r="C1250" s="3">
        <v>42765</v>
      </c>
      <c r="D1250" s="3">
        <v>42765</v>
      </c>
      <c r="E1250" s="3">
        <v>42795</v>
      </c>
      <c r="G1250">
        <v>35125</v>
      </c>
      <c r="H1250">
        <v>40745</v>
      </c>
      <c r="I1250">
        <v>3</v>
      </c>
    </row>
    <row r="1251" spans="1:9" x14ac:dyDescent="0.2">
      <c r="A1251" t="s">
        <v>41</v>
      </c>
      <c r="B1251" t="s">
        <v>10</v>
      </c>
      <c r="C1251" s="3">
        <v>42761</v>
      </c>
      <c r="D1251" s="3">
        <v>42761</v>
      </c>
      <c r="E1251" s="3">
        <v>42769</v>
      </c>
      <c r="G1251">
        <v>8377.0400000000009</v>
      </c>
      <c r="H1251">
        <v>9717.3700000000008</v>
      </c>
      <c r="I1251">
        <v>3</v>
      </c>
    </row>
    <row r="1252" spans="1:9" x14ac:dyDescent="0.2">
      <c r="A1252" t="s">
        <v>41</v>
      </c>
      <c r="B1252" t="s">
        <v>14</v>
      </c>
      <c r="C1252" s="3">
        <v>42761</v>
      </c>
      <c r="D1252" s="3">
        <v>42761</v>
      </c>
      <c r="E1252" s="3">
        <v>42769</v>
      </c>
      <c r="F1252" s="3">
        <v>42761</v>
      </c>
      <c r="G1252">
        <v>392</v>
      </c>
      <c r="H1252">
        <v>454.72</v>
      </c>
      <c r="I1252">
        <v>3</v>
      </c>
    </row>
    <row r="1253" spans="1:9" x14ac:dyDescent="0.2">
      <c r="A1253" t="s">
        <v>41</v>
      </c>
      <c r="B1253" t="s">
        <v>10</v>
      </c>
      <c r="C1253" s="3">
        <v>42759</v>
      </c>
      <c r="D1253" s="3">
        <v>42759</v>
      </c>
      <c r="E1253" s="3">
        <v>42767</v>
      </c>
      <c r="G1253">
        <v>25336.9</v>
      </c>
      <c r="H1253">
        <v>29390.9</v>
      </c>
      <c r="I1253">
        <v>3</v>
      </c>
    </row>
    <row r="1254" spans="1:9" x14ac:dyDescent="0.2">
      <c r="A1254" t="s">
        <v>25</v>
      </c>
      <c r="B1254" t="s">
        <v>14</v>
      </c>
      <c r="C1254" s="3">
        <v>42759</v>
      </c>
      <c r="D1254" s="3">
        <v>42759</v>
      </c>
      <c r="E1254" s="3">
        <v>42789</v>
      </c>
      <c r="F1254" s="3">
        <v>42759</v>
      </c>
      <c r="G1254">
        <v>12179</v>
      </c>
      <c r="H1254">
        <v>14127.6</v>
      </c>
      <c r="I1254">
        <v>3</v>
      </c>
    </row>
    <row r="1255" spans="1:9" x14ac:dyDescent="0.2">
      <c r="A1255" t="s">
        <v>18</v>
      </c>
      <c r="B1255" t="s">
        <v>10</v>
      </c>
      <c r="C1255" s="3">
        <v>42759</v>
      </c>
      <c r="D1255" s="3">
        <v>42759</v>
      </c>
      <c r="E1255" s="3">
        <v>42789</v>
      </c>
      <c r="G1255">
        <v>2494</v>
      </c>
      <c r="H1255">
        <v>2893.04</v>
      </c>
      <c r="I1255">
        <v>3</v>
      </c>
    </row>
    <row r="1256" spans="1:9" x14ac:dyDescent="0.2">
      <c r="A1256" t="s">
        <v>18</v>
      </c>
      <c r="B1256" t="s">
        <v>10</v>
      </c>
      <c r="C1256" s="3">
        <v>42758</v>
      </c>
      <c r="D1256" s="3">
        <v>42758</v>
      </c>
      <c r="E1256" s="3">
        <v>42788</v>
      </c>
      <c r="G1256">
        <v>14740</v>
      </c>
      <c r="H1256">
        <v>17098.400000000001</v>
      </c>
      <c r="I1256">
        <v>3</v>
      </c>
    </row>
    <row r="1257" spans="1:9" x14ac:dyDescent="0.2">
      <c r="A1257" t="s">
        <v>18</v>
      </c>
      <c r="B1257" t="s">
        <v>10</v>
      </c>
      <c r="C1257" s="3">
        <v>42758</v>
      </c>
      <c r="D1257" s="3">
        <v>42758</v>
      </c>
      <c r="E1257" s="3">
        <v>42788</v>
      </c>
      <c r="G1257">
        <v>47718</v>
      </c>
      <c r="H1257">
        <v>55352.800000000003</v>
      </c>
      <c r="I1257">
        <v>3</v>
      </c>
    </row>
    <row r="1258" spans="1:9" x14ac:dyDescent="0.2">
      <c r="A1258" t="s">
        <v>13</v>
      </c>
      <c r="B1258" t="s">
        <v>10</v>
      </c>
      <c r="C1258" s="3">
        <v>42753</v>
      </c>
      <c r="D1258" s="3">
        <v>42753</v>
      </c>
      <c r="E1258" s="3">
        <v>42783</v>
      </c>
      <c r="G1258">
        <v>1836</v>
      </c>
      <c r="H1258">
        <v>2129.7600000000002</v>
      </c>
      <c r="I1258">
        <v>3</v>
      </c>
    </row>
    <row r="1259" spans="1:9" x14ac:dyDescent="0.2">
      <c r="A1259" t="s">
        <v>22</v>
      </c>
      <c r="B1259" t="s">
        <v>10</v>
      </c>
      <c r="C1259" s="3">
        <v>42752</v>
      </c>
      <c r="D1259" s="3">
        <v>42752</v>
      </c>
      <c r="E1259" s="3">
        <v>42812</v>
      </c>
      <c r="G1259">
        <v>17736.599999999999</v>
      </c>
      <c r="H1259">
        <v>20574.400000000001</v>
      </c>
      <c r="I1259">
        <v>3</v>
      </c>
    </row>
    <row r="1260" spans="1:9" x14ac:dyDescent="0.2">
      <c r="A1260" t="s">
        <v>20</v>
      </c>
      <c r="B1260" t="s">
        <v>10</v>
      </c>
      <c r="C1260" s="3">
        <v>42748</v>
      </c>
      <c r="D1260" s="3">
        <v>42748</v>
      </c>
      <c r="E1260" s="3">
        <v>42793</v>
      </c>
      <c r="G1260">
        <v>12430</v>
      </c>
      <c r="H1260">
        <v>14418.8</v>
      </c>
      <c r="I1260">
        <v>3</v>
      </c>
    </row>
    <row r="1261" spans="1:9" x14ac:dyDescent="0.2">
      <c r="A1261" t="s">
        <v>41</v>
      </c>
      <c r="B1261" t="s">
        <v>10</v>
      </c>
      <c r="C1261" s="3">
        <v>42747</v>
      </c>
      <c r="D1261" s="3">
        <v>42747</v>
      </c>
      <c r="E1261" s="3">
        <v>42755</v>
      </c>
      <c r="G1261">
        <v>9339.84</v>
      </c>
      <c r="H1261">
        <v>10834.2</v>
      </c>
      <c r="I1261">
        <v>3</v>
      </c>
    </row>
    <row r="1262" spans="1:9" x14ac:dyDescent="0.2">
      <c r="A1262" t="s">
        <v>41</v>
      </c>
      <c r="B1262" t="s">
        <v>10</v>
      </c>
      <c r="C1262" s="3">
        <v>42747</v>
      </c>
      <c r="D1262" s="3">
        <v>42747</v>
      </c>
      <c r="E1262" s="3">
        <v>42755</v>
      </c>
      <c r="G1262">
        <v>1405.3</v>
      </c>
      <c r="H1262">
        <v>1630.15</v>
      </c>
      <c r="I1262">
        <v>3</v>
      </c>
    </row>
    <row r="1263" spans="1:9" x14ac:dyDescent="0.2">
      <c r="A1263" t="s">
        <v>18</v>
      </c>
      <c r="B1263" t="s">
        <v>10</v>
      </c>
      <c r="C1263" s="3">
        <v>42747</v>
      </c>
      <c r="D1263" s="3">
        <v>42747</v>
      </c>
      <c r="E1263" s="3">
        <v>42777</v>
      </c>
      <c r="G1263">
        <v>25338</v>
      </c>
      <c r="H1263">
        <v>29392</v>
      </c>
      <c r="I1263">
        <v>3</v>
      </c>
    </row>
    <row r="1264" spans="1:9" x14ac:dyDescent="0.2">
      <c r="A1264" t="s">
        <v>18</v>
      </c>
      <c r="B1264" t="s">
        <v>10</v>
      </c>
      <c r="C1264" s="3">
        <v>42747</v>
      </c>
      <c r="D1264" s="3">
        <v>42747</v>
      </c>
      <c r="E1264" s="3">
        <v>42777</v>
      </c>
      <c r="G1264">
        <v>42230</v>
      </c>
      <c r="H1264">
        <v>48986.8</v>
      </c>
      <c r="I1264">
        <v>3</v>
      </c>
    </row>
    <row r="1265" spans="1:9" x14ac:dyDescent="0.2">
      <c r="A1265" t="s">
        <v>41</v>
      </c>
      <c r="B1265" t="s">
        <v>10</v>
      </c>
      <c r="C1265" s="3">
        <v>42746</v>
      </c>
      <c r="D1265" s="3">
        <v>42746</v>
      </c>
      <c r="E1265" s="3">
        <v>42754</v>
      </c>
      <c r="G1265">
        <v>26172.400000000001</v>
      </c>
      <c r="H1265">
        <v>30360.1</v>
      </c>
      <c r="I1265">
        <v>3</v>
      </c>
    </row>
    <row r="1266" spans="1:9" x14ac:dyDescent="0.2">
      <c r="A1266" t="s">
        <v>41</v>
      </c>
      <c r="B1266" t="s">
        <v>10</v>
      </c>
      <c r="C1266" s="3">
        <v>42745</v>
      </c>
      <c r="D1266" s="3">
        <v>42745</v>
      </c>
      <c r="E1266" s="3">
        <v>42753</v>
      </c>
      <c r="G1266">
        <v>41371.199999999997</v>
      </c>
      <c r="H1266">
        <v>47990.5</v>
      </c>
      <c r="I1266">
        <v>3</v>
      </c>
    </row>
    <row r="1267" spans="1:9" x14ac:dyDescent="0.2">
      <c r="A1267" t="s">
        <v>41</v>
      </c>
      <c r="B1267" t="s">
        <v>10</v>
      </c>
      <c r="C1267" s="3">
        <v>42745</v>
      </c>
      <c r="D1267" s="3">
        <v>42745</v>
      </c>
      <c r="E1267" s="3">
        <v>42753</v>
      </c>
      <c r="G1267">
        <v>10213.4</v>
      </c>
      <c r="H1267">
        <v>11847.7</v>
      </c>
      <c r="I1267">
        <v>3</v>
      </c>
    </row>
    <row r="1268" spans="1:9" x14ac:dyDescent="0.2">
      <c r="A1268" t="s">
        <v>41</v>
      </c>
      <c r="B1268" t="s">
        <v>10</v>
      </c>
      <c r="C1268" s="3">
        <v>42738</v>
      </c>
      <c r="D1268" s="3">
        <v>42738</v>
      </c>
      <c r="E1268" s="3">
        <v>42746</v>
      </c>
      <c r="G1268">
        <v>2642.66</v>
      </c>
      <c r="H1268">
        <v>3065.58</v>
      </c>
      <c r="I1268">
        <v>3</v>
      </c>
    </row>
    <row r="1269" spans="1:9" x14ac:dyDescent="0.2">
      <c r="A1269" t="s">
        <v>41</v>
      </c>
      <c r="B1269" t="s">
        <v>10</v>
      </c>
      <c r="C1269" s="3">
        <v>42738</v>
      </c>
      <c r="D1269" s="3">
        <v>42738</v>
      </c>
      <c r="E1269" s="3">
        <v>42746</v>
      </c>
      <c r="G1269">
        <v>2642.66</v>
      </c>
      <c r="H1269">
        <v>3065.58</v>
      </c>
      <c r="I1269">
        <v>3</v>
      </c>
    </row>
    <row r="1270" spans="1:9" x14ac:dyDescent="0.2">
      <c r="A1270" t="s">
        <v>41</v>
      </c>
      <c r="B1270" t="s">
        <v>10</v>
      </c>
      <c r="C1270" s="3">
        <v>42738</v>
      </c>
      <c r="D1270" s="3">
        <v>42738</v>
      </c>
      <c r="E1270" s="3">
        <v>42746</v>
      </c>
      <c r="G1270">
        <v>5938.56</v>
      </c>
      <c r="H1270">
        <v>6888.73</v>
      </c>
      <c r="I1270">
        <v>3</v>
      </c>
    </row>
    <row r="1271" spans="1:9" x14ac:dyDescent="0.2">
      <c r="A1271" t="s">
        <v>41</v>
      </c>
      <c r="B1271" t="s">
        <v>10</v>
      </c>
      <c r="C1271" s="3">
        <v>42738</v>
      </c>
      <c r="D1271" s="3">
        <v>42738</v>
      </c>
      <c r="E1271" s="3">
        <v>42746</v>
      </c>
      <c r="G1271">
        <v>13089.5</v>
      </c>
      <c r="H1271">
        <v>15183.9</v>
      </c>
      <c r="I1271">
        <v>3</v>
      </c>
    </row>
    <row r="1272" spans="1:9" x14ac:dyDescent="0.2">
      <c r="A1272" t="s">
        <v>44</v>
      </c>
      <c r="B1272" t="s">
        <v>10</v>
      </c>
      <c r="C1272" s="3">
        <v>42738</v>
      </c>
      <c r="D1272" s="3">
        <v>42738</v>
      </c>
      <c r="E1272" s="3">
        <v>42745</v>
      </c>
      <c r="G1272">
        <v>10578</v>
      </c>
      <c r="H1272">
        <v>12270.5</v>
      </c>
      <c r="I1272">
        <v>2</v>
      </c>
    </row>
    <row r="1273" spans="1:9" x14ac:dyDescent="0.2">
      <c r="A1273" t="s">
        <v>18</v>
      </c>
      <c r="B1273" t="s">
        <v>10</v>
      </c>
      <c r="C1273" s="3">
        <v>42738</v>
      </c>
      <c r="D1273" s="3">
        <v>42738</v>
      </c>
      <c r="E1273" s="3">
        <v>42768</v>
      </c>
      <c r="G1273">
        <v>23616</v>
      </c>
      <c r="H1273">
        <v>27394.5</v>
      </c>
      <c r="I1273">
        <v>3</v>
      </c>
    </row>
    <row r="1274" spans="1:9" x14ac:dyDescent="0.2">
      <c r="A1274" t="s">
        <v>18</v>
      </c>
      <c r="B1274" t="s">
        <v>10</v>
      </c>
      <c r="C1274" s="3">
        <v>42737</v>
      </c>
      <c r="D1274" s="3">
        <v>42737</v>
      </c>
      <c r="E1274" s="3">
        <v>42767</v>
      </c>
      <c r="G1274">
        <v>5591</v>
      </c>
      <c r="H1274">
        <v>6485.56</v>
      </c>
      <c r="I1274">
        <v>3</v>
      </c>
    </row>
    <row r="1275" spans="1:9" x14ac:dyDescent="0.2">
      <c r="A1275" t="s">
        <v>36</v>
      </c>
      <c r="B1275" t="s">
        <v>10</v>
      </c>
      <c r="C1275" s="3">
        <v>42727</v>
      </c>
      <c r="D1275" s="3">
        <v>42726</v>
      </c>
      <c r="E1275" s="3">
        <v>42742</v>
      </c>
      <c r="G1275">
        <v>1250</v>
      </c>
      <c r="H1275">
        <v>1450</v>
      </c>
      <c r="I1275">
        <v>3</v>
      </c>
    </row>
    <row r="1276" spans="1:9" x14ac:dyDescent="0.2">
      <c r="A1276" t="s">
        <v>20</v>
      </c>
      <c r="B1276" t="s">
        <v>10</v>
      </c>
      <c r="C1276" s="3">
        <v>42727</v>
      </c>
      <c r="D1276" s="3">
        <v>42727</v>
      </c>
      <c r="E1276" s="3">
        <v>42772</v>
      </c>
      <c r="G1276">
        <v>22128</v>
      </c>
      <c r="H1276">
        <v>25668.400000000001</v>
      </c>
      <c r="I1276">
        <v>3</v>
      </c>
    </row>
    <row r="1277" spans="1:9" x14ac:dyDescent="0.2">
      <c r="A1277" t="s">
        <v>25</v>
      </c>
      <c r="B1277" t="s">
        <v>10</v>
      </c>
      <c r="C1277" s="3">
        <v>42727</v>
      </c>
      <c r="D1277" s="3">
        <v>42727</v>
      </c>
      <c r="E1277" s="3">
        <v>42757</v>
      </c>
      <c r="G1277">
        <v>18886</v>
      </c>
      <c r="H1277">
        <v>21907.7</v>
      </c>
      <c r="I1277">
        <v>3</v>
      </c>
    </row>
    <row r="1278" spans="1:9" x14ac:dyDescent="0.2">
      <c r="A1278" t="s">
        <v>13</v>
      </c>
      <c r="B1278" t="s">
        <v>10</v>
      </c>
      <c r="C1278" s="3">
        <v>42727</v>
      </c>
      <c r="D1278" s="3">
        <v>42727</v>
      </c>
      <c r="E1278" s="3">
        <v>42757</v>
      </c>
      <c r="G1278">
        <v>2117</v>
      </c>
      <c r="H1278">
        <v>2455.7199999999998</v>
      </c>
      <c r="I1278">
        <v>3</v>
      </c>
    </row>
    <row r="1279" spans="1:9" x14ac:dyDescent="0.2">
      <c r="A1279" t="s">
        <v>25</v>
      </c>
      <c r="B1279" t="s">
        <v>14</v>
      </c>
      <c r="C1279" s="3">
        <v>42727</v>
      </c>
      <c r="D1279" s="3">
        <v>42727</v>
      </c>
      <c r="E1279" s="3">
        <v>42757</v>
      </c>
      <c r="F1279" s="3">
        <v>42727</v>
      </c>
      <c r="G1279">
        <v>22696</v>
      </c>
      <c r="H1279">
        <v>26327.3</v>
      </c>
      <c r="I1279">
        <v>3</v>
      </c>
    </row>
    <row r="1280" spans="1:9" x14ac:dyDescent="0.2">
      <c r="A1280" t="s">
        <v>41</v>
      </c>
      <c r="B1280" t="s">
        <v>10</v>
      </c>
      <c r="C1280" s="3">
        <v>42726</v>
      </c>
      <c r="D1280" s="3">
        <v>42726</v>
      </c>
      <c r="E1280" s="3">
        <v>42734</v>
      </c>
      <c r="G1280">
        <v>21306.400000000001</v>
      </c>
      <c r="H1280">
        <v>24715.4</v>
      </c>
      <c r="I1280">
        <v>3</v>
      </c>
    </row>
    <row r="1281" spans="1:9" x14ac:dyDescent="0.2">
      <c r="A1281" t="s">
        <v>68</v>
      </c>
      <c r="B1281" t="s">
        <v>10</v>
      </c>
      <c r="C1281" s="3">
        <v>42725</v>
      </c>
      <c r="D1281" s="3">
        <v>42725</v>
      </c>
      <c r="E1281" s="3">
        <v>42733</v>
      </c>
      <c r="G1281">
        <v>2400</v>
      </c>
      <c r="H1281">
        <v>2784</v>
      </c>
    </row>
    <row r="1282" spans="1:9" x14ac:dyDescent="0.2">
      <c r="A1282" t="s">
        <v>41</v>
      </c>
      <c r="B1282" t="s">
        <v>10</v>
      </c>
      <c r="C1282" s="3">
        <v>42723</v>
      </c>
      <c r="D1282" s="3">
        <v>42723</v>
      </c>
      <c r="E1282" s="3">
        <v>42731</v>
      </c>
      <c r="G1282">
        <v>38550.400000000001</v>
      </c>
      <c r="H1282">
        <v>44718.400000000001</v>
      </c>
      <c r="I1282">
        <v>3</v>
      </c>
    </row>
    <row r="1283" spans="1:9" x14ac:dyDescent="0.2">
      <c r="A1283" t="s">
        <v>41</v>
      </c>
      <c r="B1283" t="s">
        <v>10</v>
      </c>
      <c r="C1283" s="3">
        <v>42720</v>
      </c>
      <c r="D1283" s="3">
        <v>42720</v>
      </c>
      <c r="E1283" s="3">
        <v>42728</v>
      </c>
      <c r="G1283">
        <v>3239.24</v>
      </c>
      <c r="H1283">
        <v>3757.48</v>
      </c>
      <c r="I1283">
        <v>3</v>
      </c>
    </row>
    <row r="1284" spans="1:9" x14ac:dyDescent="0.2">
      <c r="A1284" t="s">
        <v>41</v>
      </c>
      <c r="B1284" t="s">
        <v>10</v>
      </c>
      <c r="C1284" s="3">
        <v>42720</v>
      </c>
      <c r="D1284" s="3">
        <v>42720</v>
      </c>
      <c r="E1284" s="3">
        <v>42728</v>
      </c>
      <c r="G1284">
        <v>9705.6</v>
      </c>
      <c r="H1284">
        <v>11258.5</v>
      </c>
      <c r="I1284">
        <v>3</v>
      </c>
    </row>
    <row r="1285" spans="1:9" x14ac:dyDescent="0.2">
      <c r="A1285" t="s">
        <v>18</v>
      </c>
      <c r="B1285" t="s">
        <v>10</v>
      </c>
      <c r="C1285" s="3">
        <v>42719</v>
      </c>
      <c r="D1285" s="3">
        <v>42719</v>
      </c>
      <c r="E1285" s="3">
        <v>42749</v>
      </c>
      <c r="G1285">
        <v>27955</v>
      </c>
      <c r="H1285">
        <v>32427.8</v>
      </c>
      <c r="I1285">
        <v>3</v>
      </c>
    </row>
    <row r="1286" spans="1:9" x14ac:dyDescent="0.2">
      <c r="A1286" t="s">
        <v>13</v>
      </c>
      <c r="B1286" t="s">
        <v>10</v>
      </c>
      <c r="C1286" s="3">
        <v>42719</v>
      </c>
      <c r="D1286" s="3">
        <v>42719</v>
      </c>
      <c r="E1286" s="3">
        <v>42749</v>
      </c>
      <c r="G1286">
        <v>19839</v>
      </c>
      <c r="H1286">
        <v>23013.200000000001</v>
      </c>
      <c r="I1286">
        <v>3</v>
      </c>
    </row>
    <row r="1287" spans="1:9" x14ac:dyDescent="0.2">
      <c r="A1287" t="s">
        <v>18</v>
      </c>
      <c r="B1287" t="s">
        <v>10</v>
      </c>
      <c r="C1287" s="3">
        <v>42719</v>
      </c>
      <c r="D1287" s="3">
        <v>42719</v>
      </c>
      <c r="E1287" s="3">
        <v>42749</v>
      </c>
      <c r="G1287">
        <v>27027</v>
      </c>
      <c r="H1287">
        <v>31351.3</v>
      </c>
      <c r="I1287">
        <v>3</v>
      </c>
    </row>
    <row r="1288" spans="1:9" x14ac:dyDescent="0.2">
      <c r="A1288" t="s">
        <v>18</v>
      </c>
      <c r="B1288" t="s">
        <v>10</v>
      </c>
      <c r="C1288" s="3">
        <v>42719</v>
      </c>
      <c r="D1288" s="3">
        <v>42719</v>
      </c>
      <c r="E1288" s="3">
        <v>42749</v>
      </c>
      <c r="G1288">
        <v>8446</v>
      </c>
      <c r="H1288">
        <v>9797.36</v>
      </c>
      <c r="I1288">
        <v>3</v>
      </c>
    </row>
    <row r="1289" spans="1:9" x14ac:dyDescent="0.2">
      <c r="A1289" t="s">
        <v>18</v>
      </c>
      <c r="B1289" t="s">
        <v>10</v>
      </c>
      <c r="C1289" s="3">
        <v>42719</v>
      </c>
      <c r="D1289" s="3">
        <v>42719</v>
      </c>
      <c r="E1289" s="3">
        <v>42749</v>
      </c>
      <c r="G1289">
        <v>47719</v>
      </c>
      <c r="H1289">
        <v>55354</v>
      </c>
      <c r="I1289">
        <v>3</v>
      </c>
    </row>
    <row r="1290" spans="1:9" x14ac:dyDescent="0.2">
      <c r="A1290" t="s">
        <v>18</v>
      </c>
      <c r="B1290" t="s">
        <v>10</v>
      </c>
      <c r="C1290" s="3">
        <v>42719</v>
      </c>
      <c r="D1290" s="3">
        <v>42719</v>
      </c>
      <c r="E1290" s="3">
        <v>42749</v>
      </c>
      <c r="G1290">
        <v>47719</v>
      </c>
      <c r="H1290">
        <v>55354</v>
      </c>
      <c r="I1290">
        <v>3</v>
      </c>
    </row>
    <row r="1291" spans="1:9" x14ac:dyDescent="0.2">
      <c r="A1291" t="s">
        <v>18</v>
      </c>
      <c r="B1291" t="s">
        <v>10</v>
      </c>
      <c r="C1291" s="3">
        <v>42719</v>
      </c>
      <c r="D1291" s="3">
        <v>42719</v>
      </c>
      <c r="E1291" s="3">
        <v>42749</v>
      </c>
      <c r="G1291">
        <v>47719</v>
      </c>
      <c r="H1291">
        <v>55354</v>
      </c>
      <c r="I1291">
        <v>3</v>
      </c>
    </row>
    <row r="1292" spans="1:9" x14ac:dyDescent="0.2">
      <c r="A1292" t="s">
        <v>18</v>
      </c>
      <c r="B1292" t="s">
        <v>14</v>
      </c>
      <c r="C1292" s="3">
        <v>42719</v>
      </c>
      <c r="D1292" s="3">
        <v>42719</v>
      </c>
      <c r="E1292" s="3">
        <v>42749</v>
      </c>
      <c r="F1292" s="3">
        <v>42719</v>
      </c>
      <c r="G1292">
        <v>47719</v>
      </c>
      <c r="H1292">
        <v>55354</v>
      </c>
      <c r="I1292">
        <v>3</v>
      </c>
    </row>
    <row r="1293" spans="1:9" x14ac:dyDescent="0.2">
      <c r="A1293" t="s">
        <v>41</v>
      </c>
      <c r="B1293" t="s">
        <v>10</v>
      </c>
      <c r="C1293" s="3">
        <v>42719</v>
      </c>
      <c r="D1293" s="3">
        <v>42719</v>
      </c>
      <c r="E1293" s="3">
        <v>42727</v>
      </c>
      <c r="G1293">
        <v>54203.9</v>
      </c>
      <c r="H1293">
        <v>62876.6</v>
      </c>
      <c r="I1293">
        <v>3</v>
      </c>
    </row>
    <row r="1294" spans="1:9" x14ac:dyDescent="0.2">
      <c r="A1294" t="s">
        <v>41</v>
      </c>
      <c r="B1294" t="s">
        <v>10</v>
      </c>
      <c r="C1294" s="3">
        <v>42719</v>
      </c>
      <c r="D1294" s="3">
        <v>42719</v>
      </c>
      <c r="E1294" s="3">
        <v>42727</v>
      </c>
      <c r="G1294">
        <v>11238.7</v>
      </c>
      <c r="H1294">
        <v>13036.9</v>
      </c>
      <c r="I1294">
        <v>3</v>
      </c>
    </row>
    <row r="1295" spans="1:9" x14ac:dyDescent="0.2">
      <c r="A1295" t="s">
        <v>18</v>
      </c>
      <c r="B1295" t="s">
        <v>10</v>
      </c>
      <c r="C1295" s="3">
        <v>42719</v>
      </c>
      <c r="D1295" s="3">
        <v>42719</v>
      </c>
      <c r="E1295" s="3">
        <v>42749</v>
      </c>
      <c r="G1295">
        <v>45788</v>
      </c>
      <c r="H1295">
        <v>53114</v>
      </c>
      <c r="I1295">
        <v>3</v>
      </c>
    </row>
    <row r="1296" spans="1:9" x14ac:dyDescent="0.2">
      <c r="A1296" t="s">
        <v>20</v>
      </c>
      <c r="B1296" t="s">
        <v>10</v>
      </c>
      <c r="C1296" s="3">
        <v>42717</v>
      </c>
      <c r="D1296" s="3">
        <v>42717</v>
      </c>
      <c r="E1296" s="3">
        <v>42762</v>
      </c>
      <c r="G1296">
        <v>35526.800000000003</v>
      </c>
      <c r="H1296">
        <v>41211</v>
      </c>
      <c r="I1296">
        <v>3</v>
      </c>
    </row>
    <row r="1297" spans="1:9" x14ac:dyDescent="0.2">
      <c r="A1297" t="s">
        <v>54</v>
      </c>
      <c r="B1297" t="s">
        <v>10</v>
      </c>
      <c r="C1297" s="3">
        <v>42717</v>
      </c>
      <c r="D1297" s="3">
        <v>42717</v>
      </c>
      <c r="E1297" s="3">
        <v>42717</v>
      </c>
      <c r="G1297">
        <v>1266.04</v>
      </c>
      <c r="H1297">
        <v>1468.61</v>
      </c>
      <c r="I1297">
        <v>3</v>
      </c>
    </row>
    <row r="1298" spans="1:9" x14ac:dyDescent="0.2">
      <c r="A1298" t="s">
        <v>54</v>
      </c>
      <c r="B1298" t="s">
        <v>14</v>
      </c>
      <c r="C1298" s="3">
        <v>42717</v>
      </c>
      <c r="D1298" s="3">
        <v>42717</v>
      </c>
      <c r="E1298" s="3">
        <v>42717</v>
      </c>
      <c r="F1298" s="3">
        <v>42717</v>
      </c>
      <c r="G1298">
        <v>1266.04</v>
      </c>
      <c r="H1298">
        <v>1468.61</v>
      </c>
      <c r="I1298">
        <v>3</v>
      </c>
    </row>
    <row r="1299" spans="1:9" x14ac:dyDescent="0.2">
      <c r="A1299" t="s">
        <v>54</v>
      </c>
      <c r="B1299" t="s">
        <v>14</v>
      </c>
      <c r="C1299" s="3">
        <v>42717</v>
      </c>
      <c r="D1299" s="3">
        <v>42717</v>
      </c>
      <c r="E1299" s="3">
        <v>42717</v>
      </c>
      <c r="F1299" s="3">
        <v>42717</v>
      </c>
      <c r="G1299">
        <v>1266.04</v>
      </c>
      <c r="H1299">
        <v>1468.61</v>
      </c>
      <c r="I1299">
        <v>3</v>
      </c>
    </row>
    <row r="1300" spans="1:9" x14ac:dyDescent="0.2">
      <c r="A1300" t="s">
        <v>22</v>
      </c>
      <c r="B1300" t="s">
        <v>10</v>
      </c>
      <c r="C1300" s="3">
        <v>42712</v>
      </c>
      <c r="D1300" s="3">
        <v>42712</v>
      </c>
      <c r="E1300" s="3">
        <v>42772</v>
      </c>
      <c r="G1300">
        <v>58723.199999999997</v>
      </c>
      <c r="H1300">
        <v>68118.899999999994</v>
      </c>
      <c r="I1300">
        <v>3</v>
      </c>
    </row>
    <row r="1301" spans="1:9" x14ac:dyDescent="0.2">
      <c r="A1301" t="s">
        <v>22</v>
      </c>
      <c r="B1301" t="s">
        <v>10</v>
      </c>
      <c r="C1301" s="3">
        <v>42712</v>
      </c>
      <c r="D1301" s="3">
        <v>42712</v>
      </c>
      <c r="E1301" s="3">
        <v>42772</v>
      </c>
      <c r="G1301">
        <v>138774</v>
      </c>
      <c r="H1301">
        <v>160978</v>
      </c>
      <c r="I1301">
        <v>3</v>
      </c>
    </row>
    <row r="1302" spans="1:9" x14ac:dyDescent="0.2">
      <c r="A1302" t="s">
        <v>22</v>
      </c>
      <c r="B1302" t="s">
        <v>10</v>
      </c>
      <c r="C1302" s="3">
        <v>42712</v>
      </c>
      <c r="D1302" s="3">
        <v>42712</v>
      </c>
      <c r="E1302" s="3">
        <v>42772</v>
      </c>
      <c r="G1302">
        <v>8680</v>
      </c>
      <c r="H1302">
        <v>10068.799999999999</v>
      </c>
      <c r="I1302">
        <v>3</v>
      </c>
    </row>
    <row r="1303" spans="1:9" x14ac:dyDescent="0.2">
      <c r="A1303" t="s">
        <v>41</v>
      </c>
      <c r="B1303" t="s">
        <v>10</v>
      </c>
      <c r="C1303" s="3">
        <v>42711</v>
      </c>
      <c r="D1303" s="3">
        <v>42711</v>
      </c>
      <c r="E1303" s="3">
        <v>42719</v>
      </c>
      <c r="G1303">
        <v>28611.7</v>
      </c>
      <c r="H1303">
        <v>33189.5</v>
      </c>
      <c r="I1303">
        <v>3</v>
      </c>
    </row>
    <row r="1304" spans="1:9" x14ac:dyDescent="0.2">
      <c r="A1304" t="s">
        <v>41</v>
      </c>
      <c r="B1304" t="s">
        <v>10</v>
      </c>
      <c r="C1304" s="3">
        <v>42711</v>
      </c>
      <c r="D1304" s="3">
        <v>42711</v>
      </c>
      <c r="E1304" s="3">
        <v>42719</v>
      </c>
      <c r="G1304">
        <v>2141.5700000000002</v>
      </c>
      <c r="H1304">
        <v>2484.2199999999998</v>
      </c>
      <c r="I1304">
        <v>3</v>
      </c>
    </row>
    <row r="1305" spans="1:9" x14ac:dyDescent="0.2">
      <c r="A1305" t="s">
        <v>18</v>
      </c>
      <c r="B1305" t="s">
        <v>10</v>
      </c>
      <c r="C1305" s="3">
        <v>42710</v>
      </c>
      <c r="D1305" s="3">
        <v>42710</v>
      </c>
      <c r="E1305" s="3">
        <v>42740</v>
      </c>
      <c r="G1305">
        <v>36538</v>
      </c>
      <c r="H1305">
        <v>42384</v>
      </c>
      <c r="I1305">
        <v>3</v>
      </c>
    </row>
    <row r="1306" spans="1:9" x14ac:dyDescent="0.2">
      <c r="A1306" t="s">
        <v>18</v>
      </c>
      <c r="B1306" t="s">
        <v>10</v>
      </c>
      <c r="C1306" s="3">
        <v>42710</v>
      </c>
      <c r="D1306" s="3">
        <v>42710</v>
      </c>
      <c r="E1306" s="3">
        <v>42740</v>
      </c>
      <c r="G1306">
        <v>46976.7</v>
      </c>
      <c r="H1306">
        <v>54493</v>
      </c>
      <c r="I1306">
        <v>3</v>
      </c>
    </row>
    <row r="1307" spans="1:9" x14ac:dyDescent="0.2">
      <c r="A1307" t="s">
        <v>18</v>
      </c>
      <c r="B1307" t="s">
        <v>10</v>
      </c>
      <c r="C1307" s="3">
        <v>42710</v>
      </c>
      <c r="D1307" s="3">
        <v>42710</v>
      </c>
      <c r="E1307" s="3">
        <v>42740</v>
      </c>
      <c r="G1307">
        <v>46976.7</v>
      </c>
      <c r="H1307">
        <v>54493</v>
      </c>
      <c r="I1307">
        <v>3</v>
      </c>
    </row>
    <row r="1308" spans="1:9" x14ac:dyDescent="0.2">
      <c r="A1308" t="s">
        <v>18</v>
      </c>
      <c r="B1308" t="s">
        <v>10</v>
      </c>
      <c r="C1308" s="3">
        <v>42710</v>
      </c>
      <c r="D1308" s="3">
        <v>42710</v>
      </c>
      <c r="E1308" s="3">
        <v>42740</v>
      </c>
      <c r="G1308">
        <v>46976.7</v>
      </c>
      <c r="H1308">
        <v>54493</v>
      </c>
      <c r="I1308">
        <v>3</v>
      </c>
    </row>
    <row r="1309" spans="1:9" x14ac:dyDescent="0.2">
      <c r="A1309" t="s">
        <v>41</v>
      </c>
      <c r="B1309" t="s">
        <v>10</v>
      </c>
      <c r="C1309" s="3">
        <v>42710</v>
      </c>
      <c r="D1309" s="3">
        <v>42710</v>
      </c>
      <c r="E1309" s="3">
        <v>42718</v>
      </c>
      <c r="G1309">
        <v>6322.73</v>
      </c>
      <c r="H1309">
        <v>7334.46</v>
      </c>
      <c r="I1309">
        <v>3</v>
      </c>
    </row>
    <row r="1310" spans="1:9" x14ac:dyDescent="0.2">
      <c r="A1310" t="s">
        <v>41</v>
      </c>
      <c r="B1310" t="s">
        <v>10</v>
      </c>
      <c r="C1310" s="3">
        <v>42709</v>
      </c>
      <c r="D1310" s="3">
        <v>42709</v>
      </c>
      <c r="E1310" s="3">
        <v>42717</v>
      </c>
      <c r="G1310">
        <v>15071.1</v>
      </c>
      <c r="H1310">
        <v>17482.5</v>
      </c>
      <c r="I1310">
        <v>3</v>
      </c>
    </row>
    <row r="1311" spans="1:9" x14ac:dyDescent="0.2">
      <c r="A1311" t="s">
        <v>25</v>
      </c>
      <c r="B1311" t="s">
        <v>10</v>
      </c>
      <c r="C1311" s="3">
        <v>42709</v>
      </c>
      <c r="D1311" s="3">
        <v>42709</v>
      </c>
      <c r="E1311" s="3">
        <v>42739</v>
      </c>
      <c r="G1311">
        <v>28470</v>
      </c>
      <c r="H1311">
        <v>33025.199999999997</v>
      </c>
      <c r="I1311">
        <v>3</v>
      </c>
    </row>
    <row r="1312" spans="1:9" x14ac:dyDescent="0.2">
      <c r="A1312" t="s">
        <v>41</v>
      </c>
      <c r="B1312" t="s">
        <v>10</v>
      </c>
      <c r="C1312" s="3">
        <v>42709</v>
      </c>
      <c r="D1312" s="3">
        <v>42709</v>
      </c>
      <c r="E1312" s="3">
        <v>42717</v>
      </c>
      <c r="G1312">
        <v>996</v>
      </c>
      <c r="H1312">
        <v>1155.3599999999999</v>
      </c>
      <c r="I1312">
        <v>3</v>
      </c>
    </row>
    <row r="1313" spans="1:9" x14ac:dyDescent="0.2">
      <c r="A1313" t="s">
        <v>52</v>
      </c>
      <c r="B1313" t="s">
        <v>10</v>
      </c>
      <c r="C1313" s="3">
        <v>42709</v>
      </c>
      <c r="D1313" s="3">
        <v>42709</v>
      </c>
      <c r="E1313" s="3">
        <v>42716</v>
      </c>
      <c r="G1313">
        <v>11238</v>
      </c>
      <c r="H1313">
        <v>13036</v>
      </c>
      <c r="I1313">
        <v>1</v>
      </c>
    </row>
    <row r="1314" spans="1:9" x14ac:dyDescent="0.2">
      <c r="A1314" t="s">
        <v>36</v>
      </c>
      <c r="B1314" t="s">
        <v>10</v>
      </c>
      <c r="C1314" s="3">
        <v>42709</v>
      </c>
      <c r="D1314" s="3">
        <v>42709</v>
      </c>
      <c r="E1314" s="3">
        <v>42724</v>
      </c>
      <c r="G1314">
        <v>4416</v>
      </c>
      <c r="H1314">
        <v>5122.5600000000004</v>
      </c>
      <c r="I1314">
        <v>3</v>
      </c>
    </row>
    <row r="1315" spans="1:9" x14ac:dyDescent="0.2">
      <c r="A1315" t="s">
        <v>18</v>
      </c>
      <c r="B1315" t="s">
        <v>10</v>
      </c>
      <c r="C1315" s="3">
        <v>42706</v>
      </c>
      <c r="D1315" s="3">
        <v>42706</v>
      </c>
      <c r="E1315" s="3">
        <v>42736</v>
      </c>
      <c r="G1315">
        <v>8640</v>
      </c>
      <c r="H1315">
        <v>10022.4</v>
      </c>
      <c r="I1315">
        <v>3</v>
      </c>
    </row>
    <row r="1316" spans="1:9" x14ac:dyDescent="0.2">
      <c r="A1316" t="s">
        <v>43</v>
      </c>
      <c r="B1316" t="s">
        <v>10</v>
      </c>
      <c r="C1316" s="3">
        <v>42705</v>
      </c>
      <c r="D1316" s="3">
        <v>42705</v>
      </c>
      <c r="E1316" s="3">
        <v>42707</v>
      </c>
      <c r="G1316">
        <v>430</v>
      </c>
      <c r="H1316">
        <v>498.8</v>
      </c>
      <c r="I1316">
        <v>2</v>
      </c>
    </row>
    <row r="1317" spans="1:9" x14ac:dyDescent="0.2">
      <c r="A1317" t="s">
        <v>41</v>
      </c>
      <c r="B1317" t="s">
        <v>10</v>
      </c>
      <c r="C1317" s="3">
        <v>42705</v>
      </c>
      <c r="D1317" s="3">
        <v>42705</v>
      </c>
      <c r="E1317" s="3">
        <v>42713</v>
      </c>
      <c r="G1317">
        <v>880.89</v>
      </c>
      <c r="H1317">
        <v>1021.93</v>
      </c>
      <c r="I1317">
        <v>3</v>
      </c>
    </row>
    <row r="1318" spans="1:9" x14ac:dyDescent="0.2">
      <c r="A1318" t="s">
        <v>41</v>
      </c>
      <c r="B1318" t="s">
        <v>10</v>
      </c>
      <c r="C1318" s="3">
        <v>42705</v>
      </c>
      <c r="D1318" s="3">
        <v>42705</v>
      </c>
      <c r="E1318" s="3">
        <v>42713</v>
      </c>
      <c r="G1318">
        <v>12643.9</v>
      </c>
      <c r="H1318">
        <v>14667</v>
      </c>
      <c r="I1318">
        <v>3</v>
      </c>
    </row>
    <row r="1319" spans="1:9" x14ac:dyDescent="0.2">
      <c r="A1319" t="s">
        <v>41</v>
      </c>
      <c r="B1319" t="s">
        <v>10</v>
      </c>
      <c r="C1319" s="3">
        <v>42704</v>
      </c>
      <c r="D1319" s="3">
        <v>42704</v>
      </c>
      <c r="E1319" s="3">
        <v>42712</v>
      </c>
      <c r="G1319">
        <v>5425.2</v>
      </c>
      <c r="H1319">
        <v>6293.23</v>
      </c>
      <c r="I1319">
        <v>3</v>
      </c>
    </row>
    <row r="1320" spans="1:9" x14ac:dyDescent="0.2">
      <c r="A1320" t="s">
        <v>69</v>
      </c>
      <c r="B1320" t="s">
        <v>10</v>
      </c>
      <c r="C1320" s="3">
        <v>42703</v>
      </c>
      <c r="D1320" s="3">
        <v>42703</v>
      </c>
      <c r="E1320" s="3">
        <v>42718</v>
      </c>
      <c r="G1320">
        <v>4070</v>
      </c>
      <c r="H1320">
        <v>4721.2</v>
      </c>
      <c r="I1320">
        <v>3</v>
      </c>
    </row>
    <row r="1321" spans="1:9" x14ac:dyDescent="0.2">
      <c r="A1321" t="s">
        <v>18</v>
      </c>
      <c r="B1321" t="s">
        <v>10</v>
      </c>
      <c r="C1321" s="3">
        <v>42702</v>
      </c>
      <c r="D1321" s="3">
        <v>42702</v>
      </c>
      <c r="E1321" s="3">
        <v>42732</v>
      </c>
      <c r="G1321">
        <v>2420</v>
      </c>
      <c r="H1321">
        <v>2807.2</v>
      </c>
      <c r="I1321">
        <v>3</v>
      </c>
    </row>
    <row r="1322" spans="1:9" x14ac:dyDescent="0.2">
      <c r="A1322" t="s">
        <v>13</v>
      </c>
      <c r="B1322" t="s">
        <v>14</v>
      </c>
      <c r="C1322" s="3">
        <v>42702</v>
      </c>
      <c r="D1322" s="3">
        <v>42702</v>
      </c>
      <c r="E1322" s="3">
        <v>42732</v>
      </c>
      <c r="F1322" s="3">
        <v>42702</v>
      </c>
      <c r="G1322">
        <v>7567</v>
      </c>
      <c r="H1322">
        <v>8777.7199999999993</v>
      </c>
      <c r="I1322">
        <v>3</v>
      </c>
    </row>
    <row r="1323" spans="1:9" x14ac:dyDescent="0.2">
      <c r="A1323" t="s">
        <v>41</v>
      </c>
      <c r="B1323" t="s">
        <v>10</v>
      </c>
      <c r="C1323" s="3">
        <v>42702</v>
      </c>
      <c r="D1323" s="3">
        <v>42702</v>
      </c>
      <c r="E1323" s="3">
        <v>42710</v>
      </c>
      <c r="G1323">
        <v>7435.65</v>
      </c>
      <c r="H1323">
        <v>8625.2800000000007</v>
      </c>
      <c r="I1323">
        <v>3</v>
      </c>
    </row>
    <row r="1324" spans="1:9" x14ac:dyDescent="0.2">
      <c r="A1324" t="s">
        <v>13</v>
      </c>
      <c r="B1324" t="s">
        <v>10</v>
      </c>
      <c r="C1324" s="3">
        <v>42702</v>
      </c>
      <c r="D1324" s="3">
        <v>42702</v>
      </c>
      <c r="E1324" s="3">
        <v>42732</v>
      </c>
      <c r="G1324">
        <v>7910</v>
      </c>
      <c r="H1324">
        <v>9175.6</v>
      </c>
      <c r="I1324">
        <v>3</v>
      </c>
    </row>
    <row r="1325" spans="1:9" x14ac:dyDescent="0.2">
      <c r="A1325" t="s">
        <v>18</v>
      </c>
      <c r="B1325" t="s">
        <v>10</v>
      </c>
      <c r="C1325" s="3">
        <v>42698</v>
      </c>
      <c r="D1325" s="3">
        <v>42698</v>
      </c>
      <c r="E1325" s="3">
        <v>42728</v>
      </c>
      <c r="G1325">
        <v>2124</v>
      </c>
      <c r="H1325">
        <v>2463.84</v>
      </c>
      <c r="I1325">
        <v>3</v>
      </c>
    </row>
    <row r="1326" spans="1:9" x14ac:dyDescent="0.2">
      <c r="A1326" t="s">
        <v>41</v>
      </c>
      <c r="B1326" t="s">
        <v>10</v>
      </c>
      <c r="C1326" s="3">
        <v>42698</v>
      </c>
      <c r="D1326" s="3">
        <v>42698</v>
      </c>
      <c r="E1326" s="3">
        <v>42706</v>
      </c>
      <c r="G1326">
        <v>5909.76</v>
      </c>
      <c r="H1326">
        <v>6855.32</v>
      </c>
      <c r="I1326">
        <v>3</v>
      </c>
    </row>
    <row r="1327" spans="1:9" x14ac:dyDescent="0.2">
      <c r="A1327" t="s">
        <v>41</v>
      </c>
      <c r="B1327" t="s">
        <v>10</v>
      </c>
      <c r="C1327" s="3">
        <v>42698</v>
      </c>
      <c r="D1327" s="3">
        <v>42698</v>
      </c>
      <c r="E1327" s="3">
        <v>42706</v>
      </c>
      <c r="G1327">
        <v>60192.5</v>
      </c>
      <c r="H1327">
        <v>69823.399999999994</v>
      </c>
      <c r="I1327">
        <v>3</v>
      </c>
    </row>
    <row r="1328" spans="1:9" x14ac:dyDescent="0.2">
      <c r="A1328" t="s">
        <v>24</v>
      </c>
      <c r="B1328" t="s">
        <v>10</v>
      </c>
      <c r="C1328" s="3">
        <v>42698</v>
      </c>
      <c r="D1328" s="3">
        <v>42698</v>
      </c>
      <c r="E1328" s="3">
        <v>42698</v>
      </c>
      <c r="G1328">
        <v>1900</v>
      </c>
      <c r="H1328">
        <v>2204</v>
      </c>
      <c r="I1328">
        <v>3</v>
      </c>
    </row>
    <row r="1329" spans="1:9" x14ac:dyDescent="0.2">
      <c r="A1329" t="s">
        <v>41</v>
      </c>
      <c r="B1329" t="s">
        <v>14</v>
      </c>
      <c r="C1329" s="3">
        <v>42698</v>
      </c>
      <c r="D1329" s="3">
        <v>42698</v>
      </c>
      <c r="E1329" s="3">
        <v>42706</v>
      </c>
      <c r="F1329" s="3">
        <v>42698</v>
      </c>
      <c r="G1329">
        <v>288</v>
      </c>
      <c r="H1329">
        <v>334.08</v>
      </c>
      <c r="I1329">
        <v>3</v>
      </c>
    </row>
    <row r="1330" spans="1:9" x14ac:dyDescent="0.2">
      <c r="A1330" t="s">
        <v>18</v>
      </c>
      <c r="B1330" t="s">
        <v>10</v>
      </c>
      <c r="C1330" s="3">
        <v>42697</v>
      </c>
      <c r="D1330" s="3">
        <v>42697</v>
      </c>
      <c r="E1330" s="3">
        <v>42727</v>
      </c>
      <c r="G1330">
        <v>16340</v>
      </c>
      <c r="H1330">
        <v>18954.400000000001</v>
      </c>
      <c r="I1330">
        <v>3</v>
      </c>
    </row>
    <row r="1331" spans="1:9" x14ac:dyDescent="0.2">
      <c r="A1331" t="s">
        <v>18</v>
      </c>
      <c r="B1331" t="s">
        <v>10</v>
      </c>
      <c r="C1331" s="3">
        <v>42697</v>
      </c>
      <c r="D1331" s="3">
        <v>42697</v>
      </c>
      <c r="E1331" s="3">
        <v>42727</v>
      </c>
      <c r="G1331">
        <v>55257</v>
      </c>
      <c r="H1331">
        <v>64098.1</v>
      </c>
      <c r="I1331">
        <v>3</v>
      </c>
    </row>
    <row r="1332" spans="1:9" x14ac:dyDescent="0.2">
      <c r="A1332" t="s">
        <v>41</v>
      </c>
      <c r="B1332" t="s">
        <v>10</v>
      </c>
      <c r="C1332" s="3">
        <v>42697</v>
      </c>
      <c r="D1332" s="3">
        <v>42697</v>
      </c>
      <c r="E1332" s="3">
        <v>42705</v>
      </c>
      <c r="G1332">
        <v>2053.84</v>
      </c>
      <c r="H1332">
        <v>2382.4</v>
      </c>
      <c r="I1332">
        <v>3</v>
      </c>
    </row>
    <row r="1333" spans="1:9" x14ac:dyDescent="0.2">
      <c r="A1333" t="s">
        <v>18</v>
      </c>
      <c r="B1333" t="s">
        <v>14</v>
      </c>
      <c r="C1333" s="3">
        <v>42697</v>
      </c>
      <c r="D1333" s="3">
        <v>42697</v>
      </c>
      <c r="E1333" s="3">
        <v>42727</v>
      </c>
      <c r="F1333" s="3">
        <v>42697</v>
      </c>
      <c r="G1333">
        <v>58697</v>
      </c>
      <c r="H1333">
        <v>68088.5</v>
      </c>
      <c r="I1333">
        <v>3</v>
      </c>
    </row>
    <row r="1334" spans="1:9" x14ac:dyDescent="0.2">
      <c r="A1334" t="s">
        <v>25</v>
      </c>
      <c r="B1334" t="s">
        <v>10</v>
      </c>
      <c r="C1334" s="3">
        <v>42697</v>
      </c>
      <c r="D1334" s="3">
        <v>42697</v>
      </c>
      <c r="E1334" s="3">
        <v>42727</v>
      </c>
      <c r="G1334">
        <v>24484</v>
      </c>
      <c r="H1334">
        <v>28401.4</v>
      </c>
      <c r="I1334">
        <v>3</v>
      </c>
    </row>
    <row r="1335" spans="1:9" x14ac:dyDescent="0.2">
      <c r="A1335" t="s">
        <v>41</v>
      </c>
      <c r="B1335" t="s">
        <v>10</v>
      </c>
      <c r="C1335" s="3">
        <v>42696</v>
      </c>
      <c r="D1335" s="3">
        <v>42696</v>
      </c>
      <c r="E1335" s="3">
        <v>42704</v>
      </c>
      <c r="G1335">
        <v>22986.7</v>
      </c>
      <c r="H1335">
        <v>26664.5</v>
      </c>
      <c r="I1335">
        <v>3</v>
      </c>
    </row>
    <row r="1336" spans="1:9" x14ac:dyDescent="0.2">
      <c r="A1336" t="s">
        <v>18</v>
      </c>
      <c r="B1336" t="s">
        <v>10</v>
      </c>
      <c r="C1336" s="3">
        <v>42689</v>
      </c>
      <c r="D1336" s="3">
        <v>42689</v>
      </c>
      <c r="E1336" s="3">
        <v>42719</v>
      </c>
      <c r="G1336">
        <v>5220</v>
      </c>
      <c r="H1336">
        <v>6055.2</v>
      </c>
      <c r="I1336">
        <v>3</v>
      </c>
    </row>
    <row r="1337" spans="1:9" x14ac:dyDescent="0.2">
      <c r="A1337" t="s">
        <v>36</v>
      </c>
      <c r="B1337" t="s">
        <v>10</v>
      </c>
      <c r="C1337" s="3">
        <v>42689</v>
      </c>
      <c r="D1337" s="3">
        <v>42689</v>
      </c>
      <c r="E1337" s="3">
        <v>42704</v>
      </c>
      <c r="G1337">
        <v>13800</v>
      </c>
      <c r="H1337">
        <v>16008</v>
      </c>
      <c r="I1337">
        <v>3</v>
      </c>
    </row>
    <row r="1338" spans="1:9" x14ac:dyDescent="0.2">
      <c r="A1338" t="s">
        <v>18</v>
      </c>
      <c r="B1338" t="s">
        <v>10</v>
      </c>
      <c r="C1338" s="3">
        <v>42688</v>
      </c>
      <c r="D1338" s="3">
        <v>42688</v>
      </c>
      <c r="E1338" s="3">
        <v>42718</v>
      </c>
      <c r="G1338">
        <v>1696</v>
      </c>
      <c r="H1338">
        <v>1967.36</v>
      </c>
      <c r="I1338">
        <v>3</v>
      </c>
    </row>
    <row r="1339" spans="1:9" x14ac:dyDescent="0.2">
      <c r="A1339" t="s">
        <v>18</v>
      </c>
      <c r="B1339" t="s">
        <v>10</v>
      </c>
      <c r="C1339" s="3">
        <v>42688</v>
      </c>
      <c r="D1339" s="3">
        <v>42688</v>
      </c>
      <c r="E1339" s="3">
        <v>42718</v>
      </c>
      <c r="G1339">
        <v>24204</v>
      </c>
      <c r="H1339">
        <v>28076.6</v>
      </c>
      <c r="I1339">
        <v>3</v>
      </c>
    </row>
    <row r="1340" spans="1:9" x14ac:dyDescent="0.2">
      <c r="A1340" t="s">
        <v>70</v>
      </c>
      <c r="B1340" t="s">
        <v>10</v>
      </c>
      <c r="C1340" s="3">
        <v>42684</v>
      </c>
      <c r="D1340" s="3">
        <v>42684</v>
      </c>
      <c r="E1340" s="3">
        <v>42684</v>
      </c>
      <c r="G1340">
        <v>54310.3</v>
      </c>
      <c r="H1340">
        <v>63000</v>
      </c>
      <c r="I1340">
        <v>1</v>
      </c>
    </row>
    <row r="1341" spans="1:9" x14ac:dyDescent="0.2">
      <c r="B1341" t="s">
        <v>14</v>
      </c>
      <c r="C1341" s="3">
        <v>42684</v>
      </c>
      <c r="D1341" s="3">
        <v>42684</v>
      </c>
      <c r="E1341" s="3">
        <v>42684</v>
      </c>
      <c r="F1341" s="3">
        <v>42684</v>
      </c>
      <c r="G1341">
        <v>54310.3</v>
      </c>
      <c r="H1341">
        <v>63000</v>
      </c>
    </row>
    <row r="1342" spans="1:9" x14ac:dyDescent="0.2">
      <c r="A1342" t="s">
        <v>70</v>
      </c>
      <c r="B1342" t="s">
        <v>14</v>
      </c>
      <c r="C1342" s="3">
        <v>42684</v>
      </c>
      <c r="D1342" s="3">
        <v>42684</v>
      </c>
      <c r="E1342" s="3">
        <v>42684</v>
      </c>
      <c r="F1342" s="3">
        <v>42684</v>
      </c>
      <c r="G1342">
        <v>54310.3</v>
      </c>
      <c r="H1342">
        <v>63000</v>
      </c>
    </row>
    <row r="1343" spans="1:9" x14ac:dyDescent="0.2">
      <c r="A1343" t="s">
        <v>20</v>
      </c>
      <c r="B1343" t="s">
        <v>10</v>
      </c>
      <c r="C1343" s="3">
        <v>42683</v>
      </c>
      <c r="D1343" s="3">
        <v>42683</v>
      </c>
      <c r="E1343" s="3">
        <v>42728</v>
      </c>
      <c r="G1343">
        <v>19146</v>
      </c>
      <c r="H1343">
        <v>22209.3</v>
      </c>
      <c r="I1343">
        <v>3</v>
      </c>
    </row>
    <row r="1344" spans="1:9" x14ac:dyDescent="0.2">
      <c r="A1344" t="s">
        <v>44</v>
      </c>
      <c r="B1344" t="s">
        <v>10</v>
      </c>
      <c r="C1344" s="3">
        <v>42682</v>
      </c>
      <c r="D1344" s="3">
        <v>42682</v>
      </c>
      <c r="E1344" s="3">
        <v>42689</v>
      </c>
      <c r="G1344">
        <v>77064.100000000006</v>
      </c>
      <c r="H1344">
        <v>89394.3</v>
      </c>
      <c r="I1344">
        <v>2</v>
      </c>
    </row>
    <row r="1345" spans="1:9" x14ac:dyDescent="0.2">
      <c r="A1345" t="s">
        <v>18</v>
      </c>
      <c r="B1345" t="s">
        <v>10</v>
      </c>
      <c r="C1345" s="3">
        <v>42677</v>
      </c>
      <c r="D1345" s="3">
        <v>42677</v>
      </c>
      <c r="E1345" s="3">
        <v>42707</v>
      </c>
      <c r="G1345">
        <v>2700</v>
      </c>
      <c r="H1345">
        <v>3132</v>
      </c>
      <c r="I1345">
        <v>3</v>
      </c>
    </row>
    <row r="1346" spans="1:9" x14ac:dyDescent="0.2">
      <c r="A1346" t="s">
        <v>18</v>
      </c>
      <c r="B1346" t="s">
        <v>10</v>
      </c>
      <c r="C1346" s="3">
        <v>42677</v>
      </c>
      <c r="D1346" s="3">
        <v>42677</v>
      </c>
      <c r="E1346" s="3">
        <v>42707</v>
      </c>
      <c r="G1346">
        <v>25766</v>
      </c>
      <c r="H1346">
        <v>29888.5</v>
      </c>
      <c r="I1346">
        <v>3</v>
      </c>
    </row>
    <row r="1347" spans="1:9" x14ac:dyDescent="0.2">
      <c r="A1347" t="s">
        <v>18</v>
      </c>
      <c r="B1347" t="s">
        <v>10</v>
      </c>
      <c r="C1347" s="3">
        <v>42677</v>
      </c>
      <c r="D1347" s="3">
        <v>42677</v>
      </c>
      <c r="E1347" s="3">
        <v>42707</v>
      </c>
      <c r="G1347">
        <v>42642</v>
      </c>
      <c r="H1347">
        <v>49464.7</v>
      </c>
      <c r="I1347">
        <v>3</v>
      </c>
    </row>
    <row r="1348" spans="1:9" x14ac:dyDescent="0.2">
      <c r="A1348" t="s">
        <v>18</v>
      </c>
      <c r="B1348" t="s">
        <v>10</v>
      </c>
      <c r="C1348" s="3">
        <v>42677</v>
      </c>
      <c r="D1348" s="3">
        <v>42677</v>
      </c>
      <c r="E1348" s="3">
        <v>42707</v>
      </c>
      <c r="G1348">
        <v>19457</v>
      </c>
      <c r="H1348">
        <v>22570.1</v>
      </c>
      <c r="I1348">
        <v>3</v>
      </c>
    </row>
    <row r="1349" spans="1:9" x14ac:dyDescent="0.2">
      <c r="A1349" t="s">
        <v>25</v>
      </c>
      <c r="B1349" t="s">
        <v>10</v>
      </c>
      <c r="C1349" s="3">
        <v>42675</v>
      </c>
      <c r="D1349" s="3">
        <v>42675</v>
      </c>
      <c r="E1349" s="3">
        <v>42705</v>
      </c>
      <c r="G1349">
        <v>9264</v>
      </c>
      <c r="H1349">
        <v>10746.2</v>
      </c>
      <c r="I1349">
        <v>3</v>
      </c>
    </row>
    <row r="1350" spans="1:9" x14ac:dyDescent="0.2">
      <c r="A1350" t="s">
        <v>13</v>
      </c>
      <c r="B1350" t="s">
        <v>10</v>
      </c>
      <c r="C1350" s="3">
        <v>42674</v>
      </c>
      <c r="D1350" s="3">
        <v>42674</v>
      </c>
      <c r="E1350" s="3">
        <v>42704</v>
      </c>
      <c r="G1350">
        <v>1944</v>
      </c>
      <c r="H1350">
        <v>2255.04</v>
      </c>
      <c r="I1350">
        <v>3</v>
      </c>
    </row>
    <row r="1351" spans="1:9" x14ac:dyDescent="0.2">
      <c r="A1351" t="s">
        <v>18</v>
      </c>
      <c r="B1351" t="s">
        <v>10</v>
      </c>
      <c r="C1351" s="3">
        <v>42674</v>
      </c>
      <c r="D1351" s="3">
        <v>42674</v>
      </c>
      <c r="E1351" s="3">
        <v>42704</v>
      </c>
      <c r="G1351">
        <v>5612</v>
      </c>
      <c r="H1351">
        <v>6509.92</v>
      </c>
      <c r="I1351">
        <v>3</v>
      </c>
    </row>
    <row r="1352" spans="1:9" x14ac:dyDescent="0.2">
      <c r="A1352" t="s">
        <v>71</v>
      </c>
      <c r="B1352" t="s">
        <v>10</v>
      </c>
      <c r="C1352" s="3">
        <v>42671</v>
      </c>
      <c r="D1352" s="3">
        <v>42671</v>
      </c>
      <c r="E1352" s="3">
        <v>42686</v>
      </c>
      <c r="G1352">
        <v>25340</v>
      </c>
      <c r="H1352">
        <v>29394.400000000001</v>
      </c>
      <c r="I1352">
        <v>2</v>
      </c>
    </row>
    <row r="1353" spans="1:9" x14ac:dyDescent="0.2">
      <c r="A1353" t="s">
        <v>41</v>
      </c>
      <c r="B1353" t="s">
        <v>10</v>
      </c>
      <c r="C1353" s="3">
        <v>42671</v>
      </c>
      <c r="D1353" s="3">
        <v>42671</v>
      </c>
      <c r="E1353" s="3">
        <v>42679</v>
      </c>
      <c r="G1353">
        <v>20097.2</v>
      </c>
      <c r="H1353">
        <v>23312.799999999999</v>
      </c>
      <c r="I1353">
        <v>3</v>
      </c>
    </row>
    <row r="1354" spans="1:9" x14ac:dyDescent="0.2">
      <c r="A1354" t="s">
        <v>18</v>
      </c>
      <c r="B1354" t="s">
        <v>10</v>
      </c>
      <c r="C1354" s="3">
        <v>42669</v>
      </c>
      <c r="D1354" s="3">
        <v>42669</v>
      </c>
      <c r="E1354" s="3">
        <v>42699</v>
      </c>
      <c r="G1354">
        <v>2874</v>
      </c>
      <c r="H1354">
        <v>3333.84</v>
      </c>
      <c r="I1354">
        <v>3</v>
      </c>
    </row>
    <row r="1355" spans="1:9" x14ac:dyDescent="0.2">
      <c r="A1355" t="s">
        <v>43</v>
      </c>
      <c r="B1355" t="s">
        <v>10</v>
      </c>
      <c r="C1355" s="3">
        <v>42669</v>
      </c>
      <c r="D1355" s="3">
        <v>42669</v>
      </c>
      <c r="E1355" s="3">
        <v>42671</v>
      </c>
      <c r="G1355">
        <v>2144</v>
      </c>
      <c r="H1355">
        <v>2487.04</v>
      </c>
      <c r="I1355">
        <v>2</v>
      </c>
    </row>
    <row r="1356" spans="1:9" x14ac:dyDescent="0.2">
      <c r="A1356" t="s">
        <v>18</v>
      </c>
      <c r="B1356" t="s">
        <v>10</v>
      </c>
      <c r="C1356" s="3">
        <v>42668</v>
      </c>
      <c r="D1356" s="3">
        <v>42668</v>
      </c>
      <c r="E1356" s="3">
        <v>42698</v>
      </c>
      <c r="G1356">
        <v>3031</v>
      </c>
      <c r="H1356">
        <v>3515.96</v>
      </c>
      <c r="I1356">
        <v>3</v>
      </c>
    </row>
    <row r="1357" spans="1:9" x14ac:dyDescent="0.2">
      <c r="A1357" t="s">
        <v>36</v>
      </c>
      <c r="B1357" t="s">
        <v>10</v>
      </c>
      <c r="C1357" s="3">
        <v>42667</v>
      </c>
      <c r="D1357" s="3">
        <v>42667</v>
      </c>
      <c r="E1357" s="3">
        <v>42682</v>
      </c>
      <c r="G1357">
        <v>765</v>
      </c>
      <c r="H1357">
        <v>887.4</v>
      </c>
      <c r="I1357">
        <v>3</v>
      </c>
    </row>
    <row r="1358" spans="1:9" x14ac:dyDescent="0.2">
      <c r="A1358" t="s">
        <v>25</v>
      </c>
      <c r="B1358" t="s">
        <v>10</v>
      </c>
      <c r="C1358" s="3">
        <v>42667</v>
      </c>
      <c r="D1358" s="3">
        <v>42667</v>
      </c>
      <c r="E1358" s="3">
        <v>42697</v>
      </c>
      <c r="G1358">
        <v>19026.099999999999</v>
      </c>
      <c r="H1358">
        <v>22070.3</v>
      </c>
      <c r="I1358">
        <v>3</v>
      </c>
    </row>
    <row r="1359" spans="1:9" x14ac:dyDescent="0.2">
      <c r="A1359" t="s">
        <v>52</v>
      </c>
      <c r="B1359" t="s">
        <v>10</v>
      </c>
      <c r="C1359" s="3">
        <v>42663</v>
      </c>
      <c r="D1359" s="3">
        <v>42663</v>
      </c>
      <c r="E1359" s="3">
        <v>42670</v>
      </c>
      <c r="G1359">
        <v>532</v>
      </c>
      <c r="H1359">
        <v>617.12</v>
      </c>
      <c r="I1359">
        <v>1</v>
      </c>
    </row>
    <row r="1360" spans="1:9" x14ac:dyDescent="0.2">
      <c r="A1360" t="s">
        <v>18</v>
      </c>
      <c r="B1360" t="s">
        <v>10</v>
      </c>
      <c r="C1360" s="3">
        <v>42662</v>
      </c>
      <c r="D1360" s="3">
        <v>42661</v>
      </c>
      <c r="E1360" s="3">
        <v>42692</v>
      </c>
      <c r="G1360">
        <v>747</v>
      </c>
      <c r="H1360">
        <v>866.52</v>
      </c>
      <c r="I1360">
        <v>3</v>
      </c>
    </row>
    <row r="1361" spans="1:9" x14ac:dyDescent="0.2">
      <c r="A1361" t="s">
        <v>41</v>
      </c>
      <c r="B1361" t="s">
        <v>10</v>
      </c>
      <c r="C1361" s="3">
        <v>42661</v>
      </c>
      <c r="D1361" s="3">
        <v>42661</v>
      </c>
      <c r="E1361" s="3">
        <v>42669</v>
      </c>
      <c r="G1361">
        <v>30881.599999999999</v>
      </c>
      <c r="H1361">
        <v>35822.699999999997</v>
      </c>
      <c r="I1361">
        <v>3</v>
      </c>
    </row>
    <row r="1362" spans="1:9" x14ac:dyDescent="0.2">
      <c r="A1362" t="s">
        <v>18</v>
      </c>
      <c r="B1362" t="s">
        <v>10</v>
      </c>
      <c r="C1362" s="3">
        <v>42657</v>
      </c>
      <c r="D1362" s="3">
        <v>42657</v>
      </c>
      <c r="E1362" s="3">
        <v>42687</v>
      </c>
      <c r="G1362">
        <v>2520</v>
      </c>
      <c r="H1362">
        <v>2923.2</v>
      </c>
      <c r="I1362">
        <v>3</v>
      </c>
    </row>
    <row r="1363" spans="1:9" x14ac:dyDescent="0.2">
      <c r="A1363" t="s">
        <v>41</v>
      </c>
      <c r="B1363" t="s">
        <v>10</v>
      </c>
      <c r="C1363" s="3">
        <v>42655</v>
      </c>
      <c r="D1363" s="3">
        <v>42655</v>
      </c>
      <c r="E1363" s="3">
        <v>42663</v>
      </c>
      <c r="G1363">
        <v>16055.1</v>
      </c>
      <c r="H1363">
        <v>18623.900000000001</v>
      </c>
      <c r="I1363">
        <v>3</v>
      </c>
    </row>
    <row r="1364" spans="1:9" x14ac:dyDescent="0.2">
      <c r="A1364" t="s">
        <v>13</v>
      </c>
      <c r="B1364" t="s">
        <v>10</v>
      </c>
      <c r="C1364" s="3">
        <v>42655</v>
      </c>
      <c r="D1364" s="3">
        <v>42655</v>
      </c>
      <c r="E1364" s="3">
        <v>42685</v>
      </c>
      <c r="G1364">
        <v>14616</v>
      </c>
      <c r="H1364">
        <v>16954.5</v>
      </c>
      <c r="I1364">
        <v>3</v>
      </c>
    </row>
    <row r="1365" spans="1:9" x14ac:dyDescent="0.2">
      <c r="A1365" t="s">
        <v>41</v>
      </c>
      <c r="B1365" t="s">
        <v>10</v>
      </c>
      <c r="C1365" s="3">
        <v>42654</v>
      </c>
      <c r="D1365" s="3">
        <v>42654</v>
      </c>
      <c r="E1365" s="3">
        <v>42662</v>
      </c>
      <c r="G1365">
        <v>33472.9</v>
      </c>
      <c r="H1365">
        <v>38828.699999999997</v>
      </c>
      <c r="I1365">
        <v>3</v>
      </c>
    </row>
    <row r="1366" spans="1:9" x14ac:dyDescent="0.2">
      <c r="A1366" t="s">
        <v>25</v>
      </c>
      <c r="B1366" t="s">
        <v>10</v>
      </c>
      <c r="C1366" s="3">
        <v>42653</v>
      </c>
      <c r="D1366" s="3">
        <v>42653</v>
      </c>
      <c r="E1366" s="3">
        <v>42683</v>
      </c>
      <c r="G1366">
        <v>14042</v>
      </c>
      <c r="H1366">
        <v>16288.7</v>
      </c>
      <c r="I1366">
        <v>3</v>
      </c>
    </row>
    <row r="1367" spans="1:9" x14ac:dyDescent="0.2">
      <c r="A1367" t="s">
        <v>41</v>
      </c>
      <c r="B1367" t="s">
        <v>10</v>
      </c>
      <c r="C1367" s="3">
        <v>42653</v>
      </c>
      <c r="D1367" s="3">
        <v>42653</v>
      </c>
      <c r="E1367" s="3">
        <v>42661</v>
      </c>
      <c r="G1367">
        <v>47572.800000000003</v>
      </c>
      <c r="H1367">
        <v>55184.5</v>
      </c>
      <c r="I1367">
        <v>3</v>
      </c>
    </row>
    <row r="1368" spans="1:9" x14ac:dyDescent="0.2">
      <c r="A1368" t="s">
        <v>41</v>
      </c>
      <c r="B1368" t="s">
        <v>10</v>
      </c>
      <c r="C1368" s="3">
        <v>42653</v>
      </c>
      <c r="D1368" s="3">
        <v>42653</v>
      </c>
      <c r="E1368" s="3">
        <v>42661</v>
      </c>
      <c r="G1368">
        <v>3109.95</v>
      </c>
      <c r="H1368">
        <v>3607.5</v>
      </c>
      <c r="I1368">
        <v>3</v>
      </c>
    </row>
    <row r="1369" spans="1:9" x14ac:dyDescent="0.2">
      <c r="A1369" t="s">
        <v>41</v>
      </c>
      <c r="B1369" t="s">
        <v>10</v>
      </c>
      <c r="C1369" s="3">
        <v>42653</v>
      </c>
      <c r="D1369" s="3">
        <v>42653</v>
      </c>
      <c r="E1369" s="3">
        <v>42661</v>
      </c>
      <c r="G1369">
        <v>2111.7800000000002</v>
      </c>
      <c r="H1369">
        <v>2449.64</v>
      </c>
      <c r="I1369">
        <v>3</v>
      </c>
    </row>
    <row r="1370" spans="1:9" x14ac:dyDescent="0.2">
      <c r="A1370" t="s">
        <v>39</v>
      </c>
      <c r="B1370" t="s">
        <v>10</v>
      </c>
      <c r="C1370" s="3">
        <v>42653</v>
      </c>
      <c r="D1370" s="3">
        <v>42653</v>
      </c>
      <c r="E1370" s="3">
        <v>42661</v>
      </c>
      <c r="G1370">
        <v>10525.2</v>
      </c>
      <c r="H1370">
        <v>12209.2</v>
      </c>
      <c r="I1370">
        <v>3</v>
      </c>
    </row>
    <row r="1371" spans="1:9" x14ac:dyDescent="0.2">
      <c r="A1371" t="s">
        <v>39</v>
      </c>
      <c r="B1371" t="s">
        <v>14</v>
      </c>
      <c r="C1371" s="3">
        <v>42653</v>
      </c>
      <c r="D1371" s="3">
        <v>42653</v>
      </c>
      <c r="E1371" s="3">
        <v>42661</v>
      </c>
      <c r="F1371" s="3">
        <v>42653</v>
      </c>
      <c r="G1371">
        <v>10197.1</v>
      </c>
      <c r="H1371">
        <v>11828.6</v>
      </c>
      <c r="I1371">
        <v>3</v>
      </c>
    </row>
    <row r="1372" spans="1:9" x14ac:dyDescent="0.2">
      <c r="A1372" t="s">
        <v>18</v>
      </c>
      <c r="B1372" t="s">
        <v>10</v>
      </c>
      <c r="C1372" s="3">
        <v>42653</v>
      </c>
      <c r="D1372" s="3">
        <v>42653</v>
      </c>
      <c r="E1372" s="3">
        <v>42683</v>
      </c>
      <c r="G1372">
        <v>21993</v>
      </c>
      <c r="H1372">
        <v>25511.8</v>
      </c>
      <c r="I1372">
        <v>3</v>
      </c>
    </row>
    <row r="1373" spans="1:9" x14ac:dyDescent="0.2">
      <c r="A1373" t="s">
        <v>44</v>
      </c>
      <c r="B1373" t="s">
        <v>10</v>
      </c>
      <c r="C1373" s="3">
        <v>42646</v>
      </c>
      <c r="D1373" s="3">
        <v>42646</v>
      </c>
      <c r="E1373" s="3">
        <v>42653</v>
      </c>
      <c r="G1373">
        <v>16066</v>
      </c>
      <c r="H1373">
        <v>18636.5</v>
      </c>
      <c r="I1373">
        <v>2</v>
      </c>
    </row>
    <row r="1374" spans="1:9" x14ac:dyDescent="0.2">
      <c r="A1374" t="s">
        <v>41</v>
      </c>
      <c r="B1374" t="s">
        <v>10</v>
      </c>
      <c r="C1374" s="3">
        <v>42646</v>
      </c>
      <c r="D1374" s="3">
        <v>42646</v>
      </c>
      <c r="E1374" s="3">
        <v>42654</v>
      </c>
      <c r="G1374">
        <v>70436.899999999994</v>
      </c>
      <c r="H1374">
        <v>81706.7</v>
      </c>
      <c r="I1374">
        <v>3</v>
      </c>
    </row>
    <row r="1375" spans="1:9" x14ac:dyDescent="0.2">
      <c r="A1375" t="s">
        <v>18</v>
      </c>
      <c r="B1375" t="s">
        <v>10</v>
      </c>
      <c r="C1375" s="3">
        <v>42643</v>
      </c>
      <c r="D1375" s="3">
        <v>42643</v>
      </c>
      <c r="E1375" s="3">
        <v>42673</v>
      </c>
      <c r="G1375">
        <v>1162</v>
      </c>
      <c r="H1375">
        <v>1347.92</v>
      </c>
      <c r="I1375">
        <v>3</v>
      </c>
    </row>
    <row r="1376" spans="1:9" x14ac:dyDescent="0.2">
      <c r="A1376" t="s">
        <v>18</v>
      </c>
      <c r="B1376" t="s">
        <v>14</v>
      </c>
      <c r="C1376" s="3">
        <v>42643</v>
      </c>
      <c r="D1376" s="3">
        <v>42643</v>
      </c>
      <c r="E1376" s="3">
        <v>42673</v>
      </c>
      <c r="F1376" s="3">
        <v>42643</v>
      </c>
      <c r="G1376">
        <v>1628</v>
      </c>
      <c r="H1376">
        <v>1888.48</v>
      </c>
      <c r="I1376">
        <v>3</v>
      </c>
    </row>
    <row r="1377" spans="1:9" x14ac:dyDescent="0.2">
      <c r="A1377" t="s">
        <v>18</v>
      </c>
      <c r="B1377" t="s">
        <v>29</v>
      </c>
      <c r="C1377" s="3">
        <v>42642</v>
      </c>
      <c r="D1377" s="3">
        <v>42642</v>
      </c>
      <c r="E1377" s="3">
        <v>42672</v>
      </c>
      <c r="G1377">
        <v>5888</v>
      </c>
      <c r="H1377">
        <v>6830.08</v>
      </c>
      <c r="I1377">
        <v>3</v>
      </c>
    </row>
    <row r="1378" spans="1:9" x14ac:dyDescent="0.2">
      <c r="A1378" t="s">
        <v>13</v>
      </c>
      <c r="B1378" t="s">
        <v>10</v>
      </c>
      <c r="C1378" s="3">
        <v>42642</v>
      </c>
      <c r="D1378" s="3">
        <v>42642</v>
      </c>
      <c r="E1378" s="3">
        <v>42672</v>
      </c>
      <c r="G1378">
        <v>9550</v>
      </c>
      <c r="H1378">
        <v>11078</v>
      </c>
      <c r="I1378">
        <v>3</v>
      </c>
    </row>
    <row r="1379" spans="1:9" x14ac:dyDescent="0.2">
      <c r="A1379" t="s">
        <v>41</v>
      </c>
      <c r="B1379" t="s">
        <v>10</v>
      </c>
      <c r="C1379" s="3">
        <v>42641</v>
      </c>
      <c r="D1379" s="3">
        <v>42641</v>
      </c>
      <c r="E1379" s="3">
        <v>42649</v>
      </c>
      <c r="G1379">
        <v>28208.9</v>
      </c>
      <c r="H1379">
        <v>32722.400000000001</v>
      </c>
      <c r="I1379">
        <v>3</v>
      </c>
    </row>
    <row r="1380" spans="1:9" x14ac:dyDescent="0.2">
      <c r="A1380" t="s">
        <v>41</v>
      </c>
      <c r="B1380" t="s">
        <v>10</v>
      </c>
      <c r="C1380" s="3">
        <v>42640</v>
      </c>
      <c r="D1380" s="3">
        <v>42640</v>
      </c>
      <c r="E1380" s="3">
        <v>42648</v>
      </c>
      <c r="G1380">
        <v>49282.6</v>
      </c>
      <c r="H1380">
        <v>57167.8</v>
      </c>
      <c r="I1380">
        <v>3</v>
      </c>
    </row>
    <row r="1381" spans="1:9" x14ac:dyDescent="0.2">
      <c r="A1381" t="s">
        <v>18</v>
      </c>
      <c r="B1381" t="s">
        <v>14</v>
      </c>
      <c r="C1381" s="3">
        <v>42640</v>
      </c>
      <c r="D1381" s="3">
        <v>42640</v>
      </c>
      <c r="E1381" s="3">
        <v>42670</v>
      </c>
      <c r="F1381" s="3">
        <v>42640</v>
      </c>
      <c r="G1381">
        <v>7036</v>
      </c>
      <c r="H1381">
        <v>8161.76</v>
      </c>
      <c r="I1381">
        <v>3</v>
      </c>
    </row>
    <row r="1382" spans="1:9" x14ac:dyDescent="0.2">
      <c r="A1382" t="s">
        <v>36</v>
      </c>
      <c r="B1382" t="s">
        <v>10</v>
      </c>
      <c r="C1382" s="3">
        <v>42639</v>
      </c>
      <c r="D1382" s="3">
        <v>42639</v>
      </c>
      <c r="E1382" s="3">
        <v>42654</v>
      </c>
      <c r="G1382">
        <v>1410</v>
      </c>
      <c r="H1382">
        <v>1635.6</v>
      </c>
      <c r="I1382">
        <v>3</v>
      </c>
    </row>
    <row r="1383" spans="1:9" x14ac:dyDescent="0.2">
      <c r="A1383" t="s">
        <v>36</v>
      </c>
      <c r="B1383" t="s">
        <v>14</v>
      </c>
      <c r="C1383" s="3">
        <v>42639</v>
      </c>
      <c r="D1383" s="3">
        <v>42639</v>
      </c>
      <c r="E1383" s="3">
        <v>42654</v>
      </c>
      <c r="F1383" s="3">
        <v>42639</v>
      </c>
      <c r="G1383">
        <v>1290</v>
      </c>
      <c r="H1383">
        <v>1496.4</v>
      </c>
      <c r="I1383">
        <v>3</v>
      </c>
    </row>
    <row r="1384" spans="1:9" x14ac:dyDescent="0.2">
      <c r="A1384" t="s">
        <v>18</v>
      </c>
      <c r="B1384" t="s">
        <v>10</v>
      </c>
      <c r="C1384" s="3">
        <v>42634</v>
      </c>
      <c r="D1384" s="3">
        <v>42634</v>
      </c>
      <c r="E1384" s="3">
        <v>42664</v>
      </c>
      <c r="G1384">
        <v>2700</v>
      </c>
      <c r="H1384">
        <v>3132</v>
      </c>
      <c r="I1384">
        <v>3</v>
      </c>
    </row>
    <row r="1385" spans="1:9" x14ac:dyDescent="0.2">
      <c r="A1385" t="s">
        <v>25</v>
      </c>
      <c r="B1385" t="s">
        <v>10</v>
      </c>
      <c r="C1385" s="3">
        <v>42634</v>
      </c>
      <c r="D1385" s="3">
        <v>42634</v>
      </c>
      <c r="E1385" s="3">
        <v>42664</v>
      </c>
      <c r="G1385">
        <v>13494</v>
      </c>
      <c r="H1385">
        <v>15653</v>
      </c>
      <c r="I1385">
        <v>3</v>
      </c>
    </row>
    <row r="1386" spans="1:9" x14ac:dyDescent="0.2">
      <c r="A1386" t="s">
        <v>44</v>
      </c>
      <c r="B1386" t="s">
        <v>10</v>
      </c>
      <c r="C1386" s="3">
        <v>42633</v>
      </c>
      <c r="D1386" s="3">
        <v>42633</v>
      </c>
      <c r="E1386" s="3">
        <v>42640</v>
      </c>
      <c r="G1386">
        <v>45030</v>
      </c>
      <c r="H1386">
        <v>52234.8</v>
      </c>
      <c r="I1386">
        <v>2</v>
      </c>
    </row>
    <row r="1387" spans="1:9" x14ac:dyDescent="0.2">
      <c r="A1387" t="s">
        <v>44</v>
      </c>
      <c r="B1387" t="s">
        <v>14</v>
      </c>
      <c r="C1387" s="3">
        <v>42633</v>
      </c>
      <c r="D1387" s="3">
        <v>42633</v>
      </c>
      <c r="E1387" s="3">
        <v>42640</v>
      </c>
      <c r="F1387" s="3">
        <v>42633</v>
      </c>
      <c r="G1387">
        <v>45030</v>
      </c>
      <c r="H1387">
        <v>52234.8</v>
      </c>
      <c r="I1387">
        <v>2</v>
      </c>
    </row>
    <row r="1388" spans="1:9" x14ac:dyDescent="0.2">
      <c r="A1388" t="s">
        <v>13</v>
      </c>
      <c r="B1388" t="s">
        <v>10</v>
      </c>
      <c r="C1388" s="3">
        <v>42627</v>
      </c>
      <c r="D1388" s="3">
        <v>42627</v>
      </c>
      <c r="E1388" s="3">
        <v>42657</v>
      </c>
      <c r="G1388">
        <v>4198</v>
      </c>
      <c r="H1388">
        <v>4869.68</v>
      </c>
      <c r="I1388">
        <v>3</v>
      </c>
    </row>
    <row r="1389" spans="1:9" x14ac:dyDescent="0.2">
      <c r="A1389" t="s">
        <v>43</v>
      </c>
      <c r="B1389" t="s">
        <v>10</v>
      </c>
      <c r="C1389" s="3">
        <v>42626</v>
      </c>
      <c r="D1389" s="3">
        <v>42626</v>
      </c>
      <c r="E1389" s="3">
        <v>42628</v>
      </c>
      <c r="G1389">
        <v>528</v>
      </c>
      <c r="H1389">
        <v>612.48</v>
      </c>
      <c r="I1389">
        <v>2</v>
      </c>
    </row>
    <row r="1390" spans="1:9" x14ac:dyDescent="0.2">
      <c r="A1390" t="s">
        <v>72</v>
      </c>
      <c r="B1390" t="s">
        <v>10</v>
      </c>
      <c r="C1390" s="3">
        <v>42620</v>
      </c>
      <c r="D1390" s="3">
        <v>42620</v>
      </c>
      <c r="E1390" s="3">
        <v>42635</v>
      </c>
      <c r="G1390">
        <v>27000</v>
      </c>
      <c r="H1390">
        <v>31320</v>
      </c>
      <c r="I1390">
        <v>2</v>
      </c>
    </row>
    <row r="1391" spans="1:9" x14ac:dyDescent="0.2">
      <c r="A1391" t="s">
        <v>43</v>
      </c>
      <c r="B1391" t="s">
        <v>10</v>
      </c>
      <c r="C1391" s="3">
        <v>42620</v>
      </c>
      <c r="D1391" s="3">
        <v>42620</v>
      </c>
      <c r="E1391" s="3">
        <v>42622</v>
      </c>
      <c r="G1391">
        <v>1924</v>
      </c>
      <c r="H1391">
        <v>2231.84</v>
      </c>
      <c r="I1391">
        <v>2</v>
      </c>
    </row>
    <row r="1392" spans="1:9" x14ac:dyDescent="0.2">
      <c r="A1392" t="s">
        <v>13</v>
      </c>
      <c r="B1392" t="s">
        <v>10</v>
      </c>
      <c r="C1392" s="3">
        <v>42620</v>
      </c>
      <c r="D1392" s="3">
        <v>42620</v>
      </c>
      <c r="E1392" s="3">
        <v>42650</v>
      </c>
      <c r="G1392">
        <v>6504</v>
      </c>
      <c r="H1392">
        <v>7544.64</v>
      </c>
      <c r="I1392">
        <v>3</v>
      </c>
    </row>
    <row r="1393" spans="1:9" x14ac:dyDescent="0.2">
      <c r="A1393" t="s">
        <v>20</v>
      </c>
      <c r="B1393" t="s">
        <v>10</v>
      </c>
      <c r="C1393" s="3">
        <v>42619</v>
      </c>
      <c r="D1393" s="3">
        <v>42619</v>
      </c>
      <c r="E1393" s="3">
        <v>42664</v>
      </c>
      <c r="G1393">
        <v>26757</v>
      </c>
      <c r="H1393">
        <v>31038.1</v>
      </c>
      <c r="I1393">
        <v>3</v>
      </c>
    </row>
    <row r="1394" spans="1:9" x14ac:dyDescent="0.2">
      <c r="A1394" t="s">
        <v>41</v>
      </c>
      <c r="B1394" t="s">
        <v>10</v>
      </c>
      <c r="C1394" s="3">
        <v>42619</v>
      </c>
      <c r="D1394" s="3">
        <v>42619</v>
      </c>
      <c r="E1394" s="3">
        <v>42627</v>
      </c>
      <c r="G1394">
        <v>9733.7999999999993</v>
      </c>
      <c r="H1394">
        <v>11291.1</v>
      </c>
      <c r="I1394">
        <v>3</v>
      </c>
    </row>
    <row r="1395" spans="1:9" x14ac:dyDescent="0.2">
      <c r="A1395" t="s">
        <v>22</v>
      </c>
      <c r="B1395" t="s">
        <v>10</v>
      </c>
      <c r="C1395" s="3">
        <v>42619</v>
      </c>
      <c r="D1395" s="3">
        <v>42619</v>
      </c>
      <c r="E1395" s="3">
        <v>42679</v>
      </c>
      <c r="G1395">
        <v>201714</v>
      </c>
      <c r="H1395">
        <v>233988</v>
      </c>
      <c r="I1395">
        <v>3</v>
      </c>
    </row>
    <row r="1396" spans="1:9" x14ac:dyDescent="0.2">
      <c r="A1396" t="s">
        <v>22</v>
      </c>
      <c r="B1396" t="s">
        <v>10</v>
      </c>
      <c r="C1396" s="3">
        <v>42619</v>
      </c>
      <c r="D1396" s="3">
        <v>42619</v>
      </c>
      <c r="E1396" s="3">
        <v>42679</v>
      </c>
      <c r="G1396">
        <v>4780</v>
      </c>
      <c r="H1396">
        <v>5544.8</v>
      </c>
      <c r="I1396">
        <v>3</v>
      </c>
    </row>
    <row r="1397" spans="1:9" x14ac:dyDescent="0.2">
      <c r="A1397" t="s">
        <v>41</v>
      </c>
      <c r="B1397" t="s">
        <v>10</v>
      </c>
      <c r="C1397" s="3">
        <v>42618</v>
      </c>
      <c r="D1397" s="3">
        <v>42618</v>
      </c>
      <c r="E1397" s="3">
        <v>42626</v>
      </c>
      <c r="G1397">
        <v>4410.8999999999996</v>
      </c>
      <c r="H1397">
        <v>5116.6400000000003</v>
      </c>
      <c r="I1397">
        <v>3</v>
      </c>
    </row>
    <row r="1398" spans="1:9" x14ac:dyDescent="0.2">
      <c r="A1398" t="s">
        <v>41</v>
      </c>
      <c r="B1398" t="s">
        <v>10</v>
      </c>
      <c r="C1398" s="3">
        <v>42618</v>
      </c>
      <c r="D1398" s="3">
        <v>42618</v>
      </c>
      <c r="E1398" s="3">
        <v>42626</v>
      </c>
      <c r="G1398">
        <v>2450.5</v>
      </c>
      <c r="H1398">
        <v>2842.58</v>
      </c>
      <c r="I1398">
        <v>3</v>
      </c>
    </row>
    <row r="1399" spans="1:9" x14ac:dyDescent="0.2">
      <c r="A1399" t="s">
        <v>41</v>
      </c>
      <c r="B1399" t="s">
        <v>10</v>
      </c>
      <c r="C1399" s="3">
        <v>42618</v>
      </c>
      <c r="D1399" s="3">
        <v>42618</v>
      </c>
      <c r="E1399" s="3">
        <v>42626</v>
      </c>
      <c r="G1399">
        <v>4410.8999999999996</v>
      </c>
      <c r="H1399">
        <v>5116.6400000000003</v>
      </c>
      <c r="I1399">
        <v>3</v>
      </c>
    </row>
    <row r="1400" spans="1:9" x14ac:dyDescent="0.2">
      <c r="A1400" t="s">
        <v>41</v>
      </c>
      <c r="B1400" t="s">
        <v>10</v>
      </c>
      <c r="C1400" s="3">
        <v>42618</v>
      </c>
      <c r="D1400" s="3">
        <v>42618</v>
      </c>
      <c r="E1400" s="3">
        <v>42626</v>
      </c>
      <c r="G1400">
        <v>1225.25</v>
      </c>
      <c r="H1400">
        <v>1421.29</v>
      </c>
      <c r="I1400">
        <v>3</v>
      </c>
    </row>
    <row r="1401" spans="1:9" x14ac:dyDescent="0.2">
      <c r="A1401" t="s">
        <v>41</v>
      </c>
      <c r="B1401" t="s">
        <v>10</v>
      </c>
      <c r="C1401" s="3">
        <v>42618</v>
      </c>
      <c r="D1401" s="3">
        <v>42618</v>
      </c>
      <c r="E1401" s="3">
        <v>42626</v>
      </c>
      <c r="G1401">
        <v>34146.699999999997</v>
      </c>
      <c r="H1401">
        <v>39610.199999999997</v>
      </c>
      <c r="I1401">
        <v>3</v>
      </c>
    </row>
    <row r="1402" spans="1:9" x14ac:dyDescent="0.2">
      <c r="A1402" t="s">
        <v>25</v>
      </c>
      <c r="B1402" t="s">
        <v>10</v>
      </c>
      <c r="C1402" s="3">
        <v>42614</v>
      </c>
      <c r="D1402" s="3">
        <v>42614</v>
      </c>
      <c r="E1402" s="3">
        <v>42644</v>
      </c>
      <c r="G1402">
        <v>14066</v>
      </c>
      <c r="H1402">
        <v>16316.5</v>
      </c>
      <c r="I1402">
        <v>3</v>
      </c>
    </row>
    <row r="1403" spans="1:9" x14ac:dyDescent="0.2">
      <c r="A1403" t="s">
        <v>73</v>
      </c>
      <c r="B1403" t="s">
        <v>10</v>
      </c>
      <c r="C1403" s="3">
        <v>42613</v>
      </c>
      <c r="D1403" s="3">
        <v>42613</v>
      </c>
      <c r="E1403" s="3">
        <v>42628</v>
      </c>
      <c r="G1403">
        <v>613</v>
      </c>
      <c r="H1403">
        <v>711.08</v>
      </c>
      <c r="I1403">
        <v>1</v>
      </c>
    </row>
    <row r="1404" spans="1:9" x14ac:dyDescent="0.2">
      <c r="A1404" t="s">
        <v>73</v>
      </c>
      <c r="B1404" t="s">
        <v>10</v>
      </c>
      <c r="C1404" s="3">
        <v>42612</v>
      </c>
      <c r="D1404" s="3">
        <v>42612</v>
      </c>
      <c r="E1404" s="3">
        <v>42627</v>
      </c>
      <c r="G1404">
        <v>4384</v>
      </c>
      <c r="H1404">
        <v>5085.4399999999996</v>
      </c>
      <c r="I1404">
        <v>3</v>
      </c>
    </row>
    <row r="1405" spans="1:9" x14ac:dyDescent="0.2">
      <c r="A1405" t="s">
        <v>73</v>
      </c>
      <c r="B1405" t="s">
        <v>14</v>
      </c>
      <c r="C1405" s="3">
        <v>42612</v>
      </c>
      <c r="D1405" s="3">
        <v>42612</v>
      </c>
      <c r="E1405" s="3">
        <v>42627</v>
      </c>
      <c r="F1405" s="3">
        <v>42612</v>
      </c>
      <c r="G1405">
        <v>4384</v>
      </c>
      <c r="H1405">
        <v>5085.4399999999996</v>
      </c>
      <c r="I1405">
        <v>2</v>
      </c>
    </row>
    <row r="1406" spans="1:9" x14ac:dyDescent="0.2">
      <c r="A1406" t="s">
        <v>41</v>
      </c>
      <c r="B1406" t="s">
        <v>10</v>
      </c>
      <c r="C1406" s="3">
        <v>42608</v>
      </c>
      <c r="D1406" s="3">
        <v>42608</v>
      </c>
      <c r="E1406" s="3">
        <v>42616</v>
      </c>
      <c r="G1406">
        <v>39189.4</v>
      </c>
      <c r="H1406">
        <v>45459.8</v>
      </c>
      <c r="I1406">
        <v>3</v>
      </c>
    </row>
    <row r="1407" spans="1:9" x14ac:dyDescent="0.2">
      <c r="A1407" t="s">
        <v>41</v>
      </c>
      <c r="B1407" t="s">
        <v>10</v>
      </c>
      <c r="C1407" s="3">
        <v>42608</v>
      </c>
      <c r="D1407" s="3">
        <v>42608</v>
      </c>
      <c r="E1407" s="3">
        <v>42616</v>
      </c>
      <c r="G1407">
        <v>28670</v>
      </c>
      <c r="H1407">
        <v>33257.199999999997</v>
      </c>
      <c r="I1407">
        <v>3</v>
      </c>
    </row>
    <row r="1408" spans="1:9" x14ac:dyDescent="0.2">
      <c r="A1408" t="s">
        <v>25</v>
      </c>
      <c r="B1408" t="s">
        <v>10</v>
      </c>
      <c r="C1408" s="3">
        <v>42606</v>
      </c>
      <c r="D1408" s="3">
        <v>42606</v>
      </c>
      <c r="E1408" s="3">
        <v>42636</v>
      </c>
      <c r="G1408">
        <v>13720</v>
      </c>
      <c r="H1408">
        <v>15915.2</v>
      </c>
      <c r="I1408">
        <v>3</v>
      </c>
    </row>
    <row r="1409" spans="1:9" x14ac:dyDescent="0.2">
      <c r="A1409" t="s">
        <v>25</v>
      </c>
      <c r="B1409" t="s">
        <v>10</v>
      </c>
      <c r="C1409" s="3">
        <v>42605</v>
      </c>
      <c r="D1409" s="3">
        <v>42605</v>
      </c>
      <c r="E1409" s="3">
        <v>42635</v>
      </c>
      <c r="G1409">
        <v>23427</v>
      </c>
      <c r="H1409">
        <v>27175.3</v>
      </c>
      <c r="I1409">
        <v>3</v>
      </c>
    </row>
    <row r="1410" spans="1:9" x14ac:dyDescent="0.2">
      <c r="A1410" t="s">
        <v>41</v>
      </c>
      <c r="B1410" t="s">
        <v>10</v>
      </c>
      <c r="C1410" s="3">
        <v>42604</v>
      </c>
      <c r="D1410" s="3">
        <v>42604</v>
      </c>
      <c r="E1410" s="3">
        <v>42612</v>
      </c>
      <c r="G1410">
        <v>9786.4500000000007</v>
      </c>
      <c r="H1410">
        <v>11352.2</v>
      </c>
      <c r="I1410">
        <v>3</v>
      </c>
    </row>
  </sheetData>
  <autoFilter ref="A1:I1410" xr:uid="{A399B4D5-EA0E-CC40-AC0B-633440C179F9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59"/>
  <sheetViews>
    <sheetView zoomScale="57" workbookViewId="0">
      <selection activeCell="T18" sqref="T18"/>
    </sheetView>
  </sheetViews>
  <sheetFormatPr baseColWidth="10" defaultRowHeight="15" x14ac:dyDescent="0.2"/>
  <cols>
    <col min="1" max="1" width="41" bestFit="1" customWidth="1"/>
    <col min="2" max="2" width="14.1640625" bestFit="1" customWidth="1"/>
  </cols>
  <sheetData>
    <row r="3" spans="1:2" x14ac:dyDescent="0.2">
      <c r="A3" s="4" t="s">
        <v>74</v>
      </c>
      <c r="B3" t="s">
        <v>76</v>
      </c>
    </row>
    <row r="4" spans="1:2" x14ac:dyDescent="0.2">
      <c r="A4" s="5" t="s">
        <v>30</v>
      </c>
      <c r="B4" s="8">
        <v>1.7017312501167663E-4</v>
      </c>
    </row>
    <row r="5" spans="1:2" x14ac:dyDescent="0.2">
      <c r="A5" s="5" t="s">
        <v>72</v>
      </c>
      <c r="B5" s="8">
        <v>9.6284039717419714E-4</v>
      </c>
    </row>
    <row r="6" spans="1:2" x14ac:dyDescent="0.2">
      <c r="A6" s="5" t="s">
        <v>42</v>
      </c>
      <c r="B6" s="8">
        <v>5.1922059936504851E-4</v>
      </c>
    </row>
    <row r="7" spans="1:2" x14ac:dyDescent="0.2">
      <c r="A7" s="5" t="s">
        <v>66</v>
      </c>
      <c r="B7" s="8">
        <v>1.5926093384370239E-4</v>
      </c>
    </row>
    <row r="8" spans="1:2" x14ac:dyDescent="0.2">
      <c r="A8" s="5" t="s">
        <v>43</v>
      </c>
      <c r="B8" s="8">
        <v>4.174804640636417E-4</v>
      </c>
    </row>
    <row r="9" spans="1:2" x14ac:dyDescent="0.2">
      <c r="A9" s="5" t="s">
        <v>19</v>
      </c>
      <c r="B9" s="8">
        <v>0.11036519871007271</v>
      </c>
    </row>
    <row r="10" spans="1:2" x14ac:dyDescent="0.2">
      <c r="A10" s="5" t="s">
        <v>18</v>
      </c>
      <c r="B10" s="8">
        <v>0.17529415705617196</v>
      </c>
    </row>
    <row r="11" spans="1:2" x14ac:dyDescent="0.2">
      <c r="A11" s="5" t="s">
        <v>12</v>
      </c>
      <c r="B11" s="8">
        <v>2.1458908779825682E-2</v>
      </c>
    </row>
    <row r="12" spans="1:2" x14ac:dyDescent="0.2">
      <c r="A12" s="5" t="s">
        <v>9</v>
      </c>
      <c r="B12" s="8">
        <v>3.9847278953582506E-3</v>
      </c>
    </row>
    <row r="13" spans="1:2" x14ac:dyDescent="0.2">
      <c r="A13" s="5" t="s">
        <v>44</v>
      </c>
      <c r="B13" s="8">
        <v>7.7858585432197007E-3</v>
      </c>
    </row>
    <row r="14" spans="1:2" x14ac:dyDescent="0.2">
      <c r="A14" s="5" t="s">
        <v>50</v>
      </c>
      <c r="B14" s="8">
        <v>6.2263679017264748E-5</v>
      </c>
    </row>
    <row r="15" spans="1:2" x14ac:dyDescent="0.2">
      <c r="A15" s="5" t="s">
        <v>57</v>
      </c>
      <c r="B15" s="8">
        <v>9.4001751368562357E-4</v>
      </c>
    </row>
    <row r="16" spans="1:2" x14ac:dyDescent="0.2">
      <c r="A16" s="5" t="s">
        <v>13</v>
      </c>
      <c r="B16" s="8">
        <v>3.7897438612256751E-2</v>
      </c>
    </row>
    <row r="17" spans="1:2" x14ac:dyDescent="0.2">
      <c r="A17" s="5" t="s">
        <v>73</v>
      </c>
      <c r="B17" s="8">
        <v>3.3453354688485715E-4</v>
      </c>
    </row>
    <row r="18" spans="1:2" x14ac:dyDescent="0.2">
      <c r="A18" s="5" t="s">
        <v>69</v>
      </c>
      <c r="B18" s="8">
        <v>1.4513927468514751E-4</v>
      </c>
    </row>
    <row r="19" spans="1:2" x14ac:dyDescent="0.2">
      <c r="A19" s="5" t="s">
        <v>70</v>
      </c>
      <c r="B19" s="8">
        <v>3.8734958507007935E-3</v>
      </c>
    </row>
    <row r="20" spans="1:2" x14ac:dyDescent="0.2">
      <c r="A20" s="5" t="s">
        <v>54</v>
      </c>
      <c r="B20" s="8">
        <v>7.7673552224452711E-4</v>
      </c>
    </row>
    <row r="21" spans="1:2" x14ac:dyDescent="0.2">
      <c r="A21" s="5" t="s">
        <v>24</v>
      </c>
      <c r="B21" s="8">
        <v>3.5150806647948381E-4</v>
      </c>
    </row>
    <row r="22" spans="1:2" x14ac:dyDescent="0.2">
      <c r="A22" s="5" t="s">
        <v>48</v>
      </c>
      <c r="B22" s="8">
        <v>6.240632203906833E-5</v>
      </c>
    </row>
    <row r="23" spans="1:2" x14ac:dyDescent="0.2">
      <c r="A23" s="5" t="s">
        <v>36</v>
      </c>
      <c r="B23" s="8">
        <v>2.5828138318542831E-3</v>
      </c>
    </row>
    <row r="24" spans="1:2" x14ac:dyDescent="0.2">
      <c r="A24" s="5" t="s">
        <v>31</v>
      </c>
      <c r="B24" s="8">
        <v>1.2930989572892254E-3</v>
      </c>
    </row>
    <row r="25" spans="1:2" x14ac:dyDescent="0.2">
      <c r="A25" s="5" t="s">
        <v>64</v>
      </c>
      <c r="B25" s="8">
        <v>4.9789546760541266E-4</v>
      </c>
    </row>
    <row r="26" spans="1:2" x14ac:dyDescent="0.2">
      <c r="A26" s="5" t="s">
        <v>21</v>
      </c>
      <c r="B26" s="8">
        <v>6.4763186250182694E-2</v>
      </c>
    </row>
    <row r="27" spans="1:2" x14ac:dyDescent="0.2">
      <c r="A27" s="5" t="s">
        <v>33</v>
      </c>
      <c r="B27" s="8">
        <v>2.1384033490191024E-4</v>
      </c>
    </row>
    <row r="28" spans="1:2" x14ac:dyDescent="0.2">
      <c r="A28" s="5" t="s">
        <v>15</v>
      </c>
      <c r="B28" s="8">
        <v>1.6855261113209927E-2</v>
      </c>
    </row>
    <row r="29" spans="1:2" x14ac:dyDescent="0.2">
      <c r="A29" s="5" t="s">
        <v>40</v>
      </c>
      <c r="B29" s="8">
        <v>2.125347270123857E-2</v>
      </c>
    </row>
    <row r="30" spans="1:2" x14ac:dyDescent="0.2">
      <c r="A30" s="5" t="s">
        <v>45</v>
      </c>
      <c r="B30" s="8">
        <v>1.5913950282298596E-3</v>
      </c>
    </row>
    <row r="31" spans="1:2" x14ac:dyDescent="0.2">
      <c r="A31" s="5" t="s">
        <v>16</v>
      </c>
      <c r="B31" s="8">
        <v>2.1026598360219358E-2</v>
      </c>
    </row>
    <row r="32" spans="1:2" x14ac:dyDescent="0.2">
      <c r="A32" s="5" t="s">
        <v>59</v>
      </c>
      <c r="B32" s="8">
        <v>3.2451287460315536E-4</v>
      </c>
    </row>
    <row r="33" spans="1:2" x14ac:dyDescent="0.2">
      <c r="A33" s="5" t="s">
        <v>27</v>
      </c>
      <c r="B33" s="8">
        <v>3.9100948529244136E-3</v>
      </c>
    </row>
    <row r="34" spans="1:2" x14ac:dyDescent="0.2">
      <c r="A34" s="5" t="s">
        <v>28</v>
      </c>
      <c r="B34" s="8">
        <v>1.9613415497992905E-5</v>
      </c>
    </row>
    <row r="35" spans="1:2" x14ac:dyDescent="0.2">
      <c r="A35" s="5" t="s">
        <v>41</v>
      </c>
      <c r="B35" s="8">
        <v>0.22120040064342303</v>
      </c>
    </row>
    <row r="36" spans="1:2" x14ac:dyDescent="0.2">
      <c r="A36" s="5" t="s">
        <v>37</v>
      </c>
      <c r="B36" s="8">
        <v>1.8640005990711795E-2</v>
      </c>
    </row>
    <row r="37" spans="1:2" x14ac:dyDescent="0.2">
      <c r="A37" s="5" t="s">
        <v>25</v>
      </c>
      <c r="B37" s="8">
        <v>2.6481613361832246E-2</v>
      </c>
    </row>
    <row r="38" spans="1:2" x14ac:dyDescent="0.2">
      <c r="A38" s="5" t="s">
        <v>34</v>
      </c>
      <c r="B38" s="8">
        <v>2.5345666742510536E-4</v>
      </c>
    </row>
    <row r="39" spans="1:2" x14ac:dyDescent="0.2">
      <c r="A39" s="5" t="s">
        <v>51</v>
      </c>
      <c r="B39" s="8">
        <v>1.8721896611720502E-4</v>
      </c>
    </row>
    <row r="40" spans="1:2" x14ac:dyDescent="0.2">
      <c r="A40" s="5" t="s">
        <v>61</v>
      </c>
      <c r="B40" s="8">
        <v>5.3234129800853352E-4</v>
      </c>
    </row>
    <row r="41" spans="1:2" x14ac:dyDescent="0.2">
      <c r="A41" s="5" t="s">
        <v>23</v>
      </c>
      <c r="B41" s="8">
        <v>6.3208689036713486E-4</v>
      </c>
    </row>
    <row r="42" spans="1:2" x14ac:dyDescent="0.2">
      <c r="A42" s="5" t="s">
        <v>52</v>
      </c>
      <c r="B42" s="8">
        <v>6.2391811800643481E-4</v>
      </c>
    </row>
    <row r="43" spans="1:2" x14ac:dyDescent="0.2">
      <c r="A43" s="5" t="s">
        <v>71</v>
      </c>
      <c r="B43" s="8">
        <v>9.0364354312570954E-4</v>
      </c>
    </row>
    <row r="44" spans="1:2" x14ac:dyDescent="0.2">
      <c r="A44" s="5" t="s">
        <v>20</v>
      </c>
      <c r="B44" s="8">
        <v>4.9334400238373217E-2</v>
      </c>
    </row>
    <row r="45" spans="1:2" x14ac:dyDescent="0.2">
      <c r="A45" s="5" t="s">
        <v>39</v>
      </c>
      <c r="B45" s="8">
        <v>3.3656722443256679E-3</v>
      </c>
    </row>
    <row r="46" spans="1:2" x14ac:dyDescent="0.2">
      <c r="A46" s="5" t="s">
        <v>55</v>
      </c>
      <c r="B46" s="8">
        <v>3.7515114734342799E-4</v>
      </c>
    </row>
    <row r="47" spans="1:2" x14ac:dyDescent="0.2">
      <c r="A47" s="5" t="s">
        <v>26</v>
      </c>
      <c r="B47" s="8">
        <v>4.8778516385940683E-2</v>
      </c>
    </row>
    <row r="48" spans="1:2" x14ac:dyDescent="0.2">
      <c r="A48" s="5" t="s">
        <v>32</v>
      </c>
      <c r="B48" s="8">
        <v>2.5943841791545397E-2</v>
      </c>
    </row>
    <row r="49" spans="1:2" x14ac:dyDescent="0.2">
      <c r="A49" s="5" t="s">
        <v>17</v>
      </c>
      <c r="B49" s="8">
        <v>2.7087980547171046E-2</v>
      </c>
    </row>
    <row r="50" spans="1:2" x14ac:dyDescent="0.2">
      <c r="A50" s="5" t="s">
        <v>67</v>
      </c>
      <c r="B50" s="8">
        <v>8.61563851693652E-4</v>
      </c>
    </row>
    <row r="51" spans="1:2" x14ac:dyDescent="0.2">
      <c r="A51" s="5" t="s">
        <v>53</v>
      </c>
      <c r="B51" s="8">
        <v>5.3526793931795184E-4</v>
      </c>
    </row>
    <row r="52" spans="1:2" x14ac:dyDescent="0.2">
      <c r="A52" s="5" t="s">
        <v>63</v>
      </c>
      <c r="B52" s="8">
        <v>8.6644876034981352E-4</v>
      </c>
    </row>
    <row r="53" spans="1:2" x14ac:dyDescent="0.2">
      <c r="A53" s="5" t="s">
        <v>49</v>
      </c>
      <c r="B53" s="8">
        <v>2.9480746531255879E-4</v>
      </c>
    </row>
    <row r="54" spans="1:2" x14ac:dyDescent="0.2">
      <c r="A54" s="5" t="s">
        <v>22</v>
      </c>
      <c r="B54" s="8">
        <v>6.6247156941660376E-2</v>
      </c>
    </row>
    <row r="55" spans="1:2" x14ac:dyDescent="0.2">
      <c r="A55" s="5" t="s">
        <v>65</v>
      </c>
      <c r="B55" s="8">
        <v>8.4872597973132947E-5</v>
      </c>
    </row>
    <row r="56" spans="1:2" x14ac:dyDescent="0.2">
      <c r="A56" s="5" t="s">
        <v>68</v>
      </c>
      <c r="B56" s="8">
        <v>8.5585813082150858E-5</v>
      </c>
    </row>
    <row r="57" spans="1:2" x14ac:dyDescent="0.2">
      <c r="A57" s="5" t="s">
        <v>46</v>
      </c>
      <c r="B57" s="8">
        <v>4.8541527916866854E-3</v>
      </c>
    </row>
    <row r="58" spans="1:2" x14ac:dyDescent="0.2">
      <c r="A58" s="5" t="s">
        <v>77</v>
      </c>
      <c r="B58" s="8">
        <v>1.9367479253503967E-3</v>
      </c>
    </row>
    <row r="59" spans="1:2" x14ac:dyDescent="0.2">
      <c r="A59" s="5" t="s">
        <v>75</v>
      </c>
      <c r="B59" s="8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30"/>
  <sheetViews>
    <sheetView topLeftCell="A20" workbookViewId="0">
      <selection activeCell="I9" sqref="I9"/>
    </sheetView>
  </sheetViews>
  <sheetFormatPr baseColWidth="10" defaultRowHeight="15" x14ac:dyDescent="0.2"/>
  <cols>
    <col min="1" max="1" width="16" customWidth="1"/>
    <col min="2" max="2" width="14.1640625" customWidth="1"/>
    <col min="3" max="3" width="20" customWidth="1"/>
    <col min="4" max="4" width="21" customWidth="1"/>
    <col min="5" max="5" width="19" bestFit="1" customWidth="1"/>
    <col min="6" max="6" width="39.1640625" bestFit="1" customWidth="1"/>
    <col min="7" max="8" width="16.1640625" bestFit="1" customWidth="1"/>
    <col min="9" max="9" width="24.5" bestFit="1" customWidth="1"/>
    <col min="10" max="10" width="33" bestFit="1" customWidth="1"/>
    <col min="11" max="11" width="26.6640625" bestFit="1" customWidth="1"/>
    <col min="12" max="12" width="22.1640625" bestFit="1" customWidth="1"/>
    <col min="13" max="13" width="41.83203125" bestFit="1" customWidth="1"/>
    <col min="14" max="14" width="39" bestFit="1" customWidth="1"/>
    <col min="15" max="15" width="34" bestFit="1" customWidth="1"/>
    <col min="16" max="16" width="25.5" bestFit="1" customWidth="1"/>
    <col min="17" max="17" width="17.33203125" bestFit="1" customWidth="1"/>
    <col min="18" max="18" width="28.1640625" bestFit="1" customWidth="1"/>
    <col min="19" max="19" width="41" bestFit="1" customWidth="1"/>
    <col min="20" max="20" width="23" bestFit="1" customWidth="1"/>
    <col min="21" max="21" width="20.5" bestFit="1" customWidth="1"/>
    <col min="22" max="22" width="28.1640625" bestFit="1" customWidth="1"/>
    <col min="23" max="23" width="24" bestFit="1" customWidth="1"/>
    <col min="24" max="24" width="41" bestFit="1" customWidth="1"/>
    <col min="25" max="25" width="33" bestFit="1" customWidth="1"/>
    <col min="26" max="26" width="27.1640625" bestFit="1" customWidth="1"/>
    <col min="27" max="27" width="41.6640625" bestFit="1" customWidth="1"/>
    <col min="28" max="28" width="34.33203125" bestFit="1" customWidth="1"/>
    <col min="29" max="29" width="20" bestFit="1" customWidth="1"/>
    <col min="30" max="30" width="28.6640625" bestFit="1" customWidth="1"/>
    <col min="31" max="31" width="22" bestFit="1" customWidth="1"/>
    <col min="32" max="32" width="23" bestFit="1" customWidth="1"/>
    <col min="33" max="33" width="36.33203125" bestFit="1" customWidth="1"/>
    <col min="34" max="34" width="18.5" bestFit="1" customWidth="1"/>
    <col min="35" max="35" width="30" bestFit="1" customWidth="1"/>
    <col min="36" max="36" width="18" bestFit="1" customWidth="1"/>
    <col min="37" max="37" width="22" bestFit="1" customWidth="1"/>
    <col min="38" max="38" width="23.6640625" bestFit="1" customWidth="1"/>
    <col min="39" max="39" width="28.33203125" bestFit="1" customWidth="1"/>
    <col min="40" max="40" width="24.6640625" bestFit="1" customWidth="1"/>
    <col min="41" max="41" width="41.5" bestFit="1" customWidth="1"/>
    <col min="42" max="42" width="37.6640625" bestFit="1" customWidth="1"/>
    <col min="43" max="43" width="33.33203125" bestFit="1" customWidth="1"/>
    <col min="44" max="44" width="41.1640625" bestFit="1" customWidth="1"/>
    <col min="45" max="45" width="24.33203125" bestFit="1" customWidth="1"/>
    <col min="46" max="46" width="32" bestFit="1" customWidth="1"/>
    <col min="47" max="47" width="34.33203125" bestFit="1" customWidth="1"/>
    <col min="48" max="48" width="31.1640625" bestFit="1" customWidth="1"/>
    <col min="49" max="49" width="37.5" bestFit="1" customWidth="1"/>
    <col min="50" max="50" width="37.6640625" bestFit="1" customWidth="1"/>
    <col min="51" max="51" width="15.5" bestFit="1" customWidth="1"/>
    <col min="52" max="52" width="36.5" bestFit="1" customWidth="1"/>
    <col min="53" max="53" width="22.5" bestFit="1" customWidth="1"/>
    <col min="54" max="54" width="23" bestFit="1" customWidth="1"/>
    <col min="55" max="55" width="25.6640625" bestFit="1" customWidth="1"/>
    <col min="56" max="56" width="6.1640625" bestFit="1" customWidth="1"/>
    <col min="57" max="57" width="11.1640625" bestFit="1" customWidth="1"/>
  </cols>
  <sheetData>
    <row r="3" spans="1:4" x14ac:dyDescent="0.2">
      <c r="A3" s="4" t="s">
        <v>74</v>
      </c>
      <c r="B3" t="s">
        <v>76</v>
      </c>
      <c r="C3" t="s">
        <v>78</v>
      </c>
      <c r="D3" t="s">
        <v>79</v>
      </c>
    </row>
    <row r="4" spans="1:4" x14ac:dyDescent="0.2">
      <c r="A4" s="5">
        <v>1</v>
      </c>
      <c r="B4" s="6">
        <v>78289.87999999999</v>
      </c>
      <c r="C4" s="6">
        <v>5</v>
      </c>
      <c r="D4" s="8">
        <v>3.5612535612535613E-3</v>
      </c>
    </row>
    <row r="5" spans="1:4" x14ac:dyDescent="0.2">
      <c r="A5" s="5">
        <v>2</v>
      </c>
      <c r="B5" s="6">
        <v>296400.90000000002</v>
      </c>
      <c r="C5" s="6">
        <v>12</v>
      </c>
      <c r="D5" s="8">
        <v>8.5470085470085479E-3</v>
      </c>
    </row>
    <row r="6" spans="1:4" x14ac:dyDescent="0.2">
      <c r="A6" s="5">
        <v>3</v>
      </c>
      <c r="B6" s="6">
        <v>4798623.3499999987</v>
      </c>
      <c r="C6" s="6">
        <v>218</v>
      </c>
      <c r="D6" s="8">
        <v>0.15527065527065528</v>
      </c>
    </row>
    <row r="7" spans="1:4" x14ac:dyDescent="0.2">
      <c r="A7" s="5" t="s">
        <v>60</v>
      </c>
      <c r="B7" s="6">
        <v>4433.5200000000004</v>
      </c>
      <c r="C7" s="6">
        <v>2</v>
      </c>
      <c r="D7" s="8">
        <v>1.4245014245014246E-3</v>
      </c>
    </row>
    <row r="8" spans="1:4" x14ac:dyDescent="0.2">
      <c r="A8" s="5" t="s">
        <v>62</v>
      </c>
      <c r="B8" s="6">
        <v>28738.66</v>
      </c>
      <c r="C8" s="6">
        <v>2</v>
      </c>
      <c r="D8" s="8">
        <v>1.4245014245014246E-3</v>
      </c>
    </row>
    <row r="9" spans="1:4" x14ac:dyDescent="0.2">
      <c r="A9" s="5" t="s">
        <v>56</v>
      </c>
      <c r="B9" s="6">
        <v>6315515.6500000022</v>
      </c>
      <c r="C9" s="6">
        <v>271</v>
      </c>
      <c r="D9" s="8">
        <v>0.19301994301994302</v>
      </c>
    </row>
    <row r="10" spans="1:4" x14ac:dyDescent="0.2">
      <c r="A10" s="5" t="s">
        <v>58</v>
      </c>
      <c r="B10" s="6">
        <v>406</v>
      </c>
      <c r="C10" s="6">
        <v>1</v>
      </c>
      <c r="D10" s="8">
        <v>7.1225071225071229E-4</v>
      </c>
    </row>
    <row r="11" spans="1:4" x14ac:dyDescent="0.2">
      <c r="A11" s="5" t="s">
        <v>11</v>
      </c>
      <c r="B11" s="6">
        <v>20592281.94000005</v>
      </c>
      <c r="C11" s="6">
        <v>883</v>
      </c>
      <c r="D11" s="8">
        <v>0.62891737891737887</v>
      </c>
    </row>
    <row r="12" spans="1:4" x14ac:dyDescent="0.2">
      <c r="A12" s="5" t="s">
        <v>38</v>
      </c>
      <c r="B12" s="6">
        <v>63782.559999999998</v>
      </c>
      <c r="C12" s="6">
        <v>5</v>
      </c>
      <c r="D12" s="8">
        <v>3.5612535612535613E-3</v>
      </c>
    </row>
    <row r="13" spans="1:4" x14ac:dyDescent="0.2">
      <c r="A13" s="5" t="s">
        <v>47</v>
      </c>
      <c r="B13" s="6">
        <v>217963.50000000003</v>
      </c>
      <c r="C13" s="6">
        <v>5</v>
      </c>
      <c r="D13" s="8">
        <v>3.5612535612535613E-3</v>
      </c>
    </row>
    <row r="14" spans="1:4" x14ac:dyDescent="0.2">
      <c r="A14" s="5" t="s">
        <v>77</v>
      </c>
      <c r="B14" s="6">
        <v>132319.67999999999</v>
      </c>
      <c r="C14" s="6"/>
      <c r="D14" s="8">
        <v>0</v>
      </c>
    </row>
    <row r="15" spans="1:4" x14ac:dyDescent="0.2">
      <c r="A15" s="5" t="s">
        <v>75</v>
      </c>
      <c r="B15" s="6">
        <v>32528755.640000075</v>
      </c>
      <c r="C15" s="6">
        <v>1404</v>
      </c>
      <c r="D15" s="8">
        <v>1</v>
      </c>
    </row>
    <row r="18" spans="1:4" x14ac:dyDescent="0.2">
      <c r="A18" s="7" t="s">
        <v>74</v>
      </c>
      <c r="B18" s="7" t="s">
        <v>76</v>
      </c>
      <c r="C18" s="7" t="s">
        <v>78</v>
      </c>
      <c r="D18" s="7" t="s">
        <v>79</v>
      </c>
    </row>
    <row r="19" spans="1:4" x14ac:dyDescent="0.2">
      <c r="A19" s="5" t="s">
        <v>60</v>
      </c>
      <c r="B19">
        <f>GETPIVOTDATA("Suma de Importe",$A$3,"Método_pago",1)+GETPIVOTDATA("Suma de Importe",$A$3,"Método_pago","01 EFECTI")</f>
        <v>82723.399999999994</v>
      </c>
      <c r="C19">
        <f>GETPIVOTDATA("Cuenta de Método_pago",$A$3,"Método_pago",1)+GETPIVOTDATA("Cuenta de Método_pago",$A$3,"Método_pago","01 EFECTI")</f>
        <v>7</v>
      </c>
      <c r="D19" s="9">
        <f>GETPIVOTDATA("Cuenta de Método_pago2",$A$3,"Método_pago",1)+GETPIVOTDATA("Cuenta de Método_pago2",$A$3,"Método_pago","01 EFECTI")</f>
        <v>4.9857549857549857E-3</v>
      </c>
    </row>
    <row r="20" spans="1:4" x14ac:dyDescent="0.2">
      <c r="A20" s="5" t="s">
        <v>62</v>
      </c>
      <c r="B20">
        <f>GETPIVOTDATA("Suma de Importe",$A$3,"Método_pago",2)+GETPIVOTDATA("Suma de Importe",$A$3,"Método_pago","02 CHEQU")</f>
        <v>325139.56</v>
      </c>
      <c r="C20">
        <f>GETPIVOTDATA("Cuenta de Método_pago",$A$3,"Método_pago",2)+GETPIVOTDATA("Cuenta de Método_pago",$A$3,"Método_pago","02 CHEQU")</f>
        <v>14</v>
      </c>
      <c r="D20" s="9">
        <f>GETPIVOTDATA("Cuenta de Método_pago2",$A$3,"Método_pago","02 CHEQU")</f>
        <v>1.4245014245014246E-3</v>
      </c>
    </row>
    <row r="21" spans="1:4" x14ac:dyDescent="0.2">
      <c r="A21" s="5" t="s">
        <v>56</v>
      </c>
      <c r="B21">
        <f>GETPIVOTDATA("Suma de Importe",$A$3,"Método_pago",3)+GETPIVOTDATA("Suma de Importe",$A$3,"Método_pago","03 TRANS")+GETPIVOTDATA("Suma de Importe",$A$3,"Método_pago","TRANSFE")</f>
        <v>11332102.5</v>
      </c>
      <c r="C21">
        <f>GETPIVOTDATA("Cuenta de Método_pago",$A$3,"Método_pago",3)+GETPIVOTDATA("Cuenta de Método_pago",$A$3,"Método_pago","03 TRANS")+GETPIVOTDATA("Cuenta de Método_pago",$A$3,"Método_pago","TRANSFE")</f>
        <v>494</v>
      </c>
      <c r="D21" s="9">
        <f>GETPIVOTDATA("Cuenta de Método_pago2",$A$3,"Método_pago",3)+GETPIVOTDATA("Cuenta de Método_pago2",$A$3,"Método_pago","03 TRANS")+GETPIVOTDATA("Cuenta de Método_pago2",$A$3,"Método_pago","TRANSFE")</f>
        <v>0.35185185185185186</v>
      </c>
    </row>
    <row r="22" spans="1:4" x14ac:dyDescent="0.2">
      <c r="A22" s="5" t="s">
        <v>11</v>
      </c>
      <c r="B22">
        <f>GETPIVOTDATA("Suma de Importe",$A$3,"Método_pago","PPD")</f>
        <v>20592281.94000005</v>
      </c>
      <c r="C22">
        <f>GETPIVOTDATA("Cuenta de Método_pago",$A$3,"Método_pago","PPD")</f>
        <v>883</v>
      </c>
      <c r="D22" s="9">
        <f>GETPIVOTDATA("Cuenta de Método_pago2",$A$3,"Método_pago","PPD")</f>
        <v>0.62891737891737887</v>
      </c>
    </row>
    <row r="23" spans="1:4" x14ac:dyDescent="0.2">
      <c r="A23" s="5" t="s">
        <v>58</v>
      </c>
      <c r="B23">
        <f>GETPIVOTDATA("Suma de Importe",$A$3,"Método_pago",)+GETPIVOTDATA("Suma de Importe",$A$3,"Método_pago","PUE")+GETPIVOTDATA("Suma de Importe",$A$3,"Método_pago","99 OTROS")</f>
        <v>196508.24</v>
      </c>
      <c r="C23">
        <f>GETPIVOTDATA("Cuenta de Método_pago",$A$3,"Método_pago","99 OTROS")+GETPIVOTDATA("Cuenta de Método_pago",$A$3,"Método_pago","PUE")+GETPIVOTDATA("Cuenta de Método_pago",$A$3,"Método_pago",)</f>
        <v>6</v>
      </c>
      <c r="D23" s="9">
        <f>GETPIVOTDATA("Cuenta de Método_pago2",$A$3,"Método_pago","99 OTROS")+GETPIVOTDATA("Cuenta de Método_pago2",$A$3,"Método_pago","PUE")+GETPIVOTDATA("Cuenta de Método_pago2",$A$3,"Método_pago",)</f>
        <v>4.2735042735042739E-3</v>
      </c>
    </row>
    <row r="25" spans="1:4" x14ac:dyDescent="0.2">
      <c r="A25" t="s">
        <v>74</v>
      </c>
      <c r="B25" t="s">
        <v>76</v>
      </c>
      <c r="C25" t="s">
        <v>78</v>
      </c>
      <c r="D25" t="s">
        <v>79</v>
      </c>
    </row>
    <row r="26" spans="1:4" x14ac:dyDescent="0.2">
      <c r="A26" t="s">
        <v>60</v>
      </c>
      <c r="B26">
        <v>82723.399999999994</v>
      </c>
      <c r="C26">
        <v>7</v>
      </c>
      <c r="D26">
        <v>4.9857549857549857E-3</v>
      </c>
    </row>
    <row r="27" spans="1:4" x14ac:dyDescent="0.2">
      <c r="A27" t="s">
        <v>62</v>
      </c>
      <c r="B27">
        <v>325139.56</v>
      </c>
      <c r="C27">
        <v>14</v>
      </c>
      <c r="D27">
        <v>1.4245014245014246E-3</v>
      </c>
    </row>
    <row r="28" spans="1:4" x14ac:dyDescent="0.2">
      <c r="A28" t="s">
        <v>56</v>
      </c>
      <c r="B28">
        <v>11332102.5</v>
      </c>
      <c r="C28">
        <v>494</v>
      </c>
      <c r="D28">
        <v>0.35185185185185186</v>
      </c>
    </row>
    <row r="29" spans="1:4" x14ac:dyDescent="0.2">
      <c r="A29" t="s">
        <v>11</v>
      </c>
      <c r="B29">
        <v>20592281.94000005</v>
      </c>
      <c r="C29">
        <v>883</v>
      </c>
      <c r="D29">
        <v>0.62891737891737887</v>
      </c>
    </row>
    <row r="30" spans="1:4" x14ac:dyDescent="0.2">
      <c r="A30" t="s">
        <v>58</v>
      </c>
      <c r="B30">
        <v>196508.24</v>
      </c>
      <c r="C30">
        <v>6</v>
      </c>
      <c r="D30">
        <v>4.2735042735042739E-3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724A-8A83-7143-9CAE-6AA601EF954F}">
  <dimension ref="A1:I1284"/>
  <sheetViews>
    <sheetView workbookViewId="0">
      <selection activeCell="B1" sqref="B1"/>
    </sheetView>
  </sheetViews>
  <sheetFormatPr baseColWidth="10" defaultRowHeight="15" x14ac:dyDescent="0.2"/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s="3">
        <v>43698</v>
      </c>
      <c r="D2" s="3">
        <v>43698</v>
      </c>
      <c r="E2" s="3">
        <v>43705</v>
      </c>
      <c r="F2" s="3"/>
      <c r="G2">
        <v>1458</v>
      </c>
      <c r="H2">
        <v>1691.28</v>
      </c>
      <c r="I2" t="s">
        <v>11</v>
      </c>
    </row>
    <row r="3" spans="1:9" x14ac:dyDescent="0.2">
      <c r="A3" t="s">
        <v>12</v>
      </c>
      <c r="B3" t="s">
        <v>10</v>
      </c>
      <c r="C3" s="3">
        <v>43698</v>
      </c>
      <c r="D3" s="3">
        <v>43698</v>
      </c>
      <c r="E3" s="3">
        <v>43728</v>
      </c>
      <c r="F3" s="3"/>
      <c r="G3">
        <v>105432</v>
      </c>
      <c r="H3">
        <v>105432</v>
      </c>
      <c r="I3" t="s">
        <v>11</v>
      </c>
    </row>
    <row r="4" spans="1:9" x14ac:dyDescent="0.2">
      <c r="A4" t="s">
        <v>13</v>
      </c>
      <c r="B4" t="s">
        <v>10</v>
      </c>
      <c r="C4" s="3">
        <v>43698</v>
      </c>
      <c r="D4" s="3">
        <v>43698</v>
      </c>
      <c r="E4" s="3">
        <v>43728</v>
      </c>
      <c r="F4" s="3"/>
      <c r="G4">
        <v>3065</v>
      </c>
      <c r="H4">
        <v>3555.4</v>
      </c>
      <c r="I4" t="s">
        <v>11</v>
      </c>
    </row>
    <row r="5" spans="1:9" x14ac:dyDescent="0.2">
      <c r="A5" t="s">
        <v>9</v>
      </c>
      <c r="B5" t="s">
        <v>10</v>
      </c>
      <c r="C5" s="3">
        <v>43697</v>
      </c>
      <c r="D5" s="3">
        <v>43692</v>
      </c>
      <c r="E5" s="3">
        <v>43704</v>
      </c>
      <c r="F5" s="3"/>
      <c r="G5">
        <v>1236</v>
      </c>
      <c r="H5">
        <v>1433.76</v>
      </c>
      <c r="I5" t="s">
        <v>11</v>
      </c>
    </row>
    <row r="6" spans="1:9" x14ac:dyDescent="0.2">
      <c r="A6" t="s">
        <v>15</v>
      </c>
      <c r="B6" t="s">
        <v>10</v>
      </c>
      <c r="C6" s="3">
        <v>43696</v>
      </c>
      <c r="D6" s="3">
        <v>43696</v>
      </c>
      <c r="E6" s="3">
        <v>43716</v>
      </c>
      <c r="F6" s="3"/>
      <c r="G6">
        <v>9133.2000000000007</v>
      </c>
      <c r="H6">
        <v>10594.5</v>
      </c>
      <c r="I6" t="s">
        <v>11</v>
      </c>
    </row>
    <row r="7" spans="1:9" x14ac:dyDescent="0.2">
      <c r="A7" t="s">
        <v>16</v>
      </c>
      <c r="B7" t="s">
        <v>10</v>
      </c>
      <c r="C7" s="3">
        <v>43693</v>
      </c>
      <c r="D7" s="3">
        <v>43693</v>
      </c>
      <c r="E7" s="3">
        <v>43708</v>
      </c>
      <c r="F7" s="3"/>
      <c r="G7">
        <v>69960</v>
      </c>
      <c r="H7">
        <v>81153.600000000006</v>
      </c>
      <c r="I7" t="s">
        <v>11</v>
      </c>
    </row>
    <row r="8" spans="1:9" x14ac:dyDescent="0.2">
      <c r="A8" t="s">
        <v>17</v>
      </c>
      <c r="B8" t="s">
        <v>10</v>
      </c>
      <c r="C8" s="3">
        <v>43692</v>
      </c>
      <c r="D8" s="3">
        <v>43692</v>
      </c>
      <c r="E8" s="3">
        <v>43737</v>
      </c>
      <c r="F8" s="3"/>
      <c r="G8">
        <v>31069</v>
      </c>
      <c r="H8">
        <v>36040</v>
      </c>
      <c r="I8" t="s">
        <v>11</v>
      </c>
    </row>
    <row r="9" spans="1:9" x14ac:dyDescent="0.2">
      <c r="A9" t="s">
        <v>18</v>
      </c>
      <c r="B9" t="s">
        <v>10</v>
      </c>
      <c r="C9" s="3">
        <v>43692</v>
      </c>
      <c r="D9" s="3">
        <v>43692</v>
      </c>
      <c r="E9" s="3">
        <v>43722</v>
      </c>
      <c r="F9" s="3"/>
      <c r="G9">
        <v>12496</v>
      </c>
      <c r="H9">
        <v>14495.3</v>
      </c>
      <c r="I9" t="s">
        <v>11</v>
      </c>
    </row>
    <row r="10" spans="1:9" x14ac:dyDescent="0.2">
      <c r="A10" t="s">
        <v>19</v>
      </c>
      <c r="B10" t="s">
        <v>10</v>
      </c>
      <c r="C10" s="3">
        <v>43690</v>
      </c>
      <c r="D10" s="3">
        <v>43690</v>
      </c>
      <c r="E10" s="3">
        <v>43705</v>
      </c>
      <c r="F10" s="3"/>
      <c r="G10">
        <v>2176</v>
      </c>
      <c r="H10">
        <v>2524.16</v>
      </c>
      <c r="I10" t="s">
        <v>11</v>
      </c>
    </row>
    <row r="11" spans="1:9" x14ac:dyDescent="0.2">
      <c r="A11" t="s">
        <v>15</v>
      </c>
      <c r="B11" t="s">
        <v>10</v>
      </c>
      <c r="C11" s="3">
        <v>43690</v>
      </c>
      <c r="D11" s="3">
        <v>43690</v>
      </c>
      <c r="E11" s="3">
        <v>43710</v>
      </c>
      <c r="F11" s="3"/>
      <c r="G11">
        <v>3018.6</v>
      </c>
      <c r="H11">
        <v>3501.58</v>
      </c>
      <c r="I11" t="s">
        <v>11</v>
      </c>
    </row>
    <row r="12" spans="1:9" x14ac:dyDescent="0.2">
      <c r="A12" t="s">
        <v>19</v>
      </c>
      <c r="B12" t="s">
        <v>10</v>
      </c>
      <c r="C12" s="3">
        <v>43689</v>
      </c>
      <c r="D12" s="3">
        <v>43672</v>
      </c>
      <c r="E12" s="3">
        <v>43704</v>
      </c>
      <c r="F12" s="3"/>
      <c r="G12">
        <v>39406</v>
      </c>
      <c r="H12">
        <v>45710.9</v>
      </c>
      <c r="I12" t="s">
        <v>11</v>
      </c>
    </row>
    <row r="13" spans="1:9" x14ac:dyDescent="0.2">
      <c r="A13" t="s">
        <v>19</v>
      </c>
      <c r="B13" t="s">
        <v>10</v>
      </c>
      <c r="C13" s="3">
        <v>43689</v>
      </c>
      <c r="D13" s="3">
        <v>43670</v>
      </c>
      <c r="E13" s="3">
        <v>43704</v>
      </c>
      <c r="F13" s="3"/>
      <c r="G13">
        <v>5349</v>
      </c>
      <c r="H13">
        <v>6204.84</v>
      </c>
      <c r="I13" t="s">
        <v>11</v>
      </c>
    </row>
    <row r="14" spans="1:9" x14ac:dyDescent="0.2">
      <c r="A14" t="s">
        <v>19</v>
      </c>
      <c r="B14" t="s">
        <v>10</v>
      </c>
      <c r="C14" s="3">
        <v>43689</v>
      </c>
      <c r="D14" s="3">
        <v>43669</v>
      </c>
      <c r="E14" s="3">
        <v>43704</v>
      </c>
      <c r="F14" s="3"/>
      <c r="G14">
        <v>44895</v>
      </c>
      <c r="H14">
        <v>52078.2</v>
      </c>
      <c r="I14" t="s">
        <v>11</v>
      </c>
    </row>
    <row r="15" spans="1:9" x14ac:dyDescent="0.2">
      <c r="A15" t="s">
        <v>19</v>
      </c>
      <c r="B15" t="s">
        <v>10</v>
      </c>
      <c r="C15" s="3">
        <v>43689</v>
      </c>
      <c r="D15" s="3">
        <v>43665</v>
      </c>
      <c r="E15" s="3">
        <v>43704</v>
      </c>
      <c r="F15" s="3"/>
      <c r="G15">
        <v>10584</v>
      </c>
      <c r="H15">
        <v>12277.4</v>
      </c>
      <c r="I15" t="s">
        <v>11</v>
      </c>
    </row>
    <row r="16" spans="1:9" x14ac:dyDescent="0.2">
      <c r="A16" t="s">
        <v>19</v>
      </c>
      <c r="B16" t="s">
        <v>10</v>
      </c>
      <c r="C16" s="3">
        <v>43689</v>
      </c>
      <c r="D16" s="3">
        <v>43664</v>
      </c>
      <c r="E16" s="3">
        <v>43704</v>
      </c>
      <c r="F16" s="3"/>
      <c r="G16">
        <v>14579</v>
      </c>
      <c r="H16">
        <v>16911.599999999999</v>
      </c>
      <c r="I16" t="s">
        <v>11</v>
      </c>
    </row>
    <row r="17" spans="1:9" x14ac:dyDescent="0.2">
      <c r="A17" t="s">
        <v>19</v>
      </c>
      <c r="B17" t="s">
        <v>10</v>
      </c>
      <c r="C17" s="3">
        <v>43689</v>
      </c>
      <c r="D17" s="3">
        <v>43664</v>
      </c>
      <c r="E17" s="3">
        <v>43704</v>
      </c>
      <c r="F17" s="3"/>
      <c r="G17">
        <v>39265</v>
      </c>
      <c r="H17">
        <v>45547.4</v>
      </c>
      <c r="I17" t="s">
        <v>11</v>
      </c>
    </row>
    <row r="18" spans="1:9" x14ac:dyDescent="0.2">
      <c r="A18" t="s">
        <v>19</v>
      </c>
      <c r="B18" t="s">
        <v>10</v>
      </c>
      <c r="C18" s="3">
        <v>43689</v>
      </c>
      <c r="D18" s="3">
        <v>43664</v>
      </c>
      <c r="E18" s="3">
        <v>43704</v>
      </c>
      <c r="F18" s="3"/>
      <c r="G18">
        <v>2811</v>
      </c>
      <c r="H18">
        <v>3260.76</v>
      </c>
      <c r="I18" t="s">
        <v>11</v>
      </c>
    </row>
    <row r="19" spans="1:9" x14ac:dyDescent="0.2">
      <c r="A19" t="s">
        <v>19</v>
      </c>
      <c r="B19" t="s">
        <v>10</v>
      </c>
      <c r="C19" s="3">
        <v>43689</v>
      </c>
      <c r="D19" s="3">
        <v>43664</v>
      </c>
      <c r="E19" s="3">
        <v>43704</v>
      </c>
      <c r="F19" s="3"/>
      <c r="G19">
        <v>31724</v>
      </c>
      <c r="H19">
        <v>36799.800000000003</v>
      </c>
      <c r="I19" t="s">
        <v>11</v>
      </c>
    </row>
    <row r="20" spans="1:9" x14ac:dyDescent="0.2">
      <c r="A20" t="s">
        <v>19</v>
      </c>
      <c r="B20" t="s">
        <v>10</v>
      </c>
      <c r="C20" s="3">
        <v>43689</v>
      </c>
      <c r="D20" s="3">
        <v>43664</v>
      </c>
      <c r="E20" s="3">
        <v>43704</v>
      </c>
      <c r="F20" s="3"/>
      <c r="G20">
        <v>34277</v>
      </c>
      <c r="H20">
        <v>39761.300000000003</v>
      </c>
      <c r="I20" t="s">
        <v>11</v>
      </c>
    </row>
    <row r="21" spans="1:9" x14ac:dyDescent="0.2">
      <c r="A21" t="s">
        <v>18</v>
      </c>
      <c r="B21" t="s">
        <v>10</v>
      </c>
      <c r="C21" s="3">
        <v>43685</v>
      </c>
      <c r="D21" s="3">
        <v>43685</v>
      </c>
      <c r="E21" s="3">
        <v>43715</v>
      </c>
      <c r="F21" s="3"/>
      <c r="G21">
        <v>16480</v>
      </c>
      <c r="H21">
        <v>19116.8</v>
      </c>
      <c r="I21" t="s">
        <v>11</v>
      </c>
    </row>
    <row r="22" spans="1:9" x14ac:dyDescent="0.2">
      <c r="A22" t="s">
        <v>17</v>
      </c>
      <c r="B22" t="s">
        <v>10</v>
      </c>
      <c r="C22" s="3">
        <v>43685</v>
      </c>
      <c r="D22" s="3">
        <v>43685</v>
      </c>
      <c r="E22" s="3">
        <v>43730</v>
      </c>
      <c r="F22" s="3"/>
      <c r="G22">
        <v>62138</v>
      </c>
      <c r="H22">
        <v>72080</v>
      </c>
      <c r="I22" t="s">
        <v>11</v>
      </c>
    </row>
    <row r="23" spans="1:9" x14ac:dyDescent="0.2">
      <c r="A23" t="s">
        <v>20</v>
      </c>
      <c r="B23" t="s">
        <v>10</v>
      </c>
      <c r="C23" s="3">
        <v>43685</v>
      </c>
      <c r="D23" s="3">
        <v>43683</v>
      </c>
      <c r="E23" s="3">
        <v>43730</v>
      </c>
      <c r="F23" s="3"/>
      <c r="G23">
        <v>18302</v>
      </c>
      <c r="H23">
        <v>21230.3</v>
      </c>
      <c r="I23" t="s">
        <v>11</v>
      </c>
    </row>
    <row r="24" spans="1:9" x14ac:dyDescent="0.2">
      <c r="A24" t="s">
        <v>18</v>
      </c>
      <c r="B24" t="s">
        <v>10</v>
      </c>
      <c r="C24" s="3">
        <v>43684</v>
      </c>
      <c r="D24" s="3">
        <v>43683</v>
      </c>
      <c r="E24" s="3">
        <v>43714</v>
      </c>
      <c r="F24" s="3"/>
      <c r="G24">
        <v>13805</v>
      </c>
      <c r="H24">
        <v>16013.8</v>
      </c>
      <c r="I24" t="s">
        <v>11</v>
      </c>
    </row>
    <row r="25" spans="1:9" x14ac:dyDescent="0.2">
      <c r="A25" t="s">
        <v>15</v>
      </c>
      <c r="B25" t="s">
        <v>10</v>
      </c>
      <c r="C25" s="3">
        <v>43683</v>
      </c>
      <c r="D25" s="3">
        <v>43683</v>
      </c>
      <c r="E25" s="3">
        <v>43703</v>
      </c>
      <c r="F25" s="3"/>
      <c r="G25">
        <v>52186.9</v>
      </c>
      <c r="H25">
        <v>60536.800000000003</v>
      </c>
      <c r="I25" t="s">
        <v>11</v>
      </c>
    </row>
    <row r="26" spans="1:9" x14ac:dyDescent="0.2">
      <c r="A26" t="s">
        <v>19</v>
      </c>
      <c r="B26" t="s">
        <v>10</v>
      </c>
      <c r="C26" s="3">
        <v>43682</v>
      </c>
      <c r="D26" s="3">
        <v>43682</v>
      </c>
      <c r="E26" s="3">
        <v>43697</v>
      </c>
      <c r="F26" s="3"/>
      <c r="G26">
        <v>179</v>
      </c>
      <c r="H26">
        <v>207.64</v>
      </c>
      <c r="I26" t="s">
        <v>11</v>
      </c>
    </row>
    <row r="27" spans="1:9" x14ac:dyDescent="0.2">
      <c r="A27" t="s">
        <v>16</v>
      </c>
      <c r="B27" t="s">
        <v>10</v>
      </c>
      <c r="C27" s="3">
        <v>43679</v>
      </c>
      <c r="D27" s="3">
        <v>43679</v>
      </c>
      <c r="E27" s="3">
        <v>43694</v>
      </c>
      <c r="F27" s="3"/>
      <c r="G27">
        <v>71070</v>
      </c>
      <c r="H27">
        <v>82441.2</v>
      </c>
      <c r="I27" t="s">
        <v>11</v>
      </c>
    </row>
    <row r="28" spans="1:9" x14ac:dyDescent="0.2">
      <c r="A28" t="s">
        <v>15</v>
      </c>
      <c r="B28" t="s">
        <v>10</v>
      </c>
      <c r="C28" s="3">
        <v>43679</v>
      </c>
      <c r="D28" s="3">
        <v>43678</v>
      </c>
      <c r="E28" s="3">
        <v>43699</v>
      </c>
      <c r="F28" s="3"/>
      <c r="G28">
        <v>10100.700000000001</v>
      </c>
      <c r="H28">
        <v>11716.8</v>
      </c>
      <c r="I28" t="s">
        <v>11</v>
      </c>
    </row>
    <row r="29" spans="1:9" x14ac:dyDescent="0.2">
      <c r="A29" t="s">
        <v>15</v>
      </c>
      <c r="B29" t="s">
        <v>10</v>
      </c>
      <c r="C29" s="3">
        <v>43677</v>
      </c>
      <c r="D29" s="3">
        <v>43677</v>
      </c>
      <c r="E29" s="3">
        <v>43697</v>
      </c>
      <c r="F29" s="3"/>
      <c r="G29">
        <v>11661</v>
      </c>
      <c r="H29">
        <v>13526.7</v>
      </c>
      <c r="I29" t="s">
        <v>11</v>
      </c>
    </row>
    <row r="30" spans="1:9" x14ac:dyDescent="0.2">
      <c r="A30" t="s">
        <v>21</v>
      </c>
      <c r="B30" t="s">
        <v>10</v>
      </c>
      <c r="C30" s="3">
        <v>43676</v>
      </c>
      <c r="D30" s="3">
        <v>43676</v>
      </c>
      <c r="E30" s="3">
        <v>43683</v>
      </c>
      <c r="F30" s="3"/>
      <c r="G30">
        <v>2688</v>
      </c>
      <c r="H30">
        <v>3118.08</v>
      </c>
      <c r="I30" t="s">
        <v>11</v>
      </c>
    </row>
    <row r="31" spans="1:9" x14ac:dyDescent="0.2">
      <c r="A31" t="s">
        <v>13</v>
      </c>
      <c r="B31" t="s">
        <v>10</v>
      </c>
      <c r="C31" s="3">
        <v>43675</v>
      </c>
      <c r="D31" s="3">
        <v>43675</v>
      </c>
      <c r="E31" s="3">
        <v>43705</v>
      </c>
      <c r="F31" s="3"/>
      <c r="G31">
        <v>2200</v>
      </c>
      <c r="H31">
        <v>2552</v>
      </c>
      <c r="I31" t="s">
        <v>11</v>
      </c>
    </row>
    <row r="32" spans="1:9" x14ac:dyDescent="0.2">
      <c r="A32" t="s">
        <v>13</v>
      </c>
      <c r="B32" t="s">
        <v>10</v>
      </c>
      <c r="C32" s="3">
        <v>43675</v>
      </c>
      <c r="D32" s="3">
        <v>43675</v>
      </c>
      <c r="E32" s="3">
        <v>43705</v>
      </c>
      <c r="F32" s="3"/>
      <c r="G32">
        <v>880</v>
      </c>
      <c r="H32">
        <v>1020.8</v>
      </c>
      <c r="I32" t="s">
        <v>11</v>
      </c>
    </row>
    <row r="33" spans="1:9" x14ac:dyDescent="0.2">
      <c r="A33" t="s">
        <v>15</v>
      </c>
      <c r="B33" t="s">
        <v>10</v>
      </c>
      <c r="C33" s="3">
        <v>43675</v>
      </c>
      <c r="D33" s="3">
        <v>43675</v>
      </c>
      <c r="E33" s="3">
        <v>43695</v>
      </c>
      <c r="F33" s="3"/>
      <c r="G33">
        <v>55341</v>
      </c>
      <c r="H33">
        <v>64195.5</v>
      </c>
      <c r="I33" t="s">
        <v>11</v>
      </c>
    </row>
    <row r="34" spans="1:9" x14ac:dyDescent="0.2">
      <c r="A34" t="s">
        <v>18</v>
      </c>
      <c r="B34" t="s">
        <v>10</v>
      </c>
      <c r="C34" s="3">
        <v>43675</v>
      </c>
      <c r="D34" s="3">
        <v>43675</v>
      </c>
      <c r="E34" s="3">
        <v>43705</v>
      </c>
      <c r="F34" s="3"/>
      <c r="G34">
        <v>34848</v>
      </c>
      <c r="H34">
        <v>40423.599999999999</v>
      </c>
      <c r="I34" t="s">
        <v>11</v>
      </c>
    </row>
    <row r="35" spans="1:9" x14ac:dyDescent="0.2">
      <c r="A35" t="s">
        <v>22</v>
      </c>
      <c r="B35" t="s">
        <v>10</v>
      </c>
      <c r="C35" s="3">
        <v>43675</v>
      </c>
      <c r="D35" s="3">
        <v>43675</v>
      </c>
      <c r="E35" s="3">
        <v>43705</v>
      </c>
      <c r="F35" s="3"/>
      <c r="G35">
        <v>800</v>
      </c>
      <c r="H35">
        <v>928</v>
      </c>
      <c r="I35" t="s">
        <v>11</v>
      </c>
    </row>
    <row r="36" spans="1:9" x14ac:dyDescent="0.2">
      <c r="A36" t="s">
        <v>16</v>
      </c>
      <c r="B36" t="s">
        <v>10</v>
      </c>
      <c r="C36" s="3">
        <v>43671</v>
      </c>
      <c r="D36" s="3">
        <v>43671</v>
      </c>
      <c r="E36" s="3">
        <v>43686</v>
      </c>
      <c r="F36" s="3"/>
      <c r="G36">
        <v>35535</v>
      </c>
      <c r="H36">
        <v>41220.6</v>
      </c>
      <c r="I36" t="s">
        <v>11</v>
      </c>
    </row>
    <row r="37" spans="1:9" x14ac:dyDescent="0.2">
      <c r="A37" t="s">
        <v>20</v>
      </c>
      <c r="B37" t="s">
        <v>10</v>
      </c>
      <c r="C37" s="3">
        <v>43668</v>
      </c>
      <c r="D37" s="3">
        <v>43668</v>
      </c>
      <c r="E37" s="3">
        <v>43713</v>
      </c>
      <c r="F37" s="3"/>
      <c r="G37">
        <v>48170</v>
      </c>
      <c r="H37">
        <v>55877.2</v>
      </c>
      <c r="I37" t="s">
        <v>11</v>
      </c>
    </row>
    <row r="38" spans="1:9" x14ac:dyDescent="0.2">
      <c r="A38" t="s">
        <v>16</v>
      </c>
      <c r="B38" t="s">
        <v>10</v>
      </c>
      <c r="C38" s="3">
        <v>43668</v>
      </c>
      <c r="D38" s="3">
        <v>43668</v>
      </c>
      <c r="E38" s="3">
        <v>43683</v>
      </c>
      <c r="F38" s="3"/>
      <c r="G38">
        <v>8500</v>
      </c>
      <c r="H38">
        <v>9860</v>
      </c>
      <c r="I38" t="s">
        <v>11</v>
      </c>
    </row>
    <row r="39" spans="1:9" x14ac:dyDescent="0.2">
      <c r="A39" t="s">
        <v>15</v>
      </c>
      <c r="B39" t="s">
        <v>10</v>
      </c>
      <c r="C39" s="3">
        <v>43668</v>
      </c>
      <c r="D39" s="3">
        <v>43668</v>
      </c>
      <c r="E39" s="3">
        <v>43688</v>
      </c>
      <c r="F39" s="3"/>
      <c r="G39">
        <v>6669</v>
      </c>
      <c r="H39">
        <v>7736.04</v>
      </c>
      <c r="I39" t="s">
        <v>11</v>
      </c>
    </row>
    <row r="40" spans="1:9" x14ac:dyDescent="0.2">
      <c r="A40" t="s">
        <v>23</v>
      </c>
      <c r="B40" t="s">
        <v>10</v>
      </c>
      <c r="C40" s="3">
        <v>43668</v>
      </c>
      <c r="D40" s="3">
        <v>43668</v>
      </c>
      <c r="E40" s="3">
        <v>43728</v>
      </c>
      <c r="F40" s="3"/>
      <c r="G40">
        <v>2500</v>
      </c>
      <c r="H40">
        <v>2900</v>
      </c>
      <c r="I40" t="s">
        <v>11</v>
      </c>
    </row>
    <row r="41" spans="1:9" x14ac:dyDescent="0.2">
      <c r="A41" t="s">
        <v>15</v>
      </c>
      <c r="B41" t="s">
        <v>10</v>
      </c>
      <c r="C41" s="3">
        <v>43665</v>
      </c>
      <c r="D41" s="3">
        <v>43665</v>
      </c>
      <c r="E41" s="3">
        <v>43685</v>
      </c>
      <c r="F41" s="3"/>
      <c r="G41">
        <v>25400.1</v>
      </c>
      <c r="H41">
        <v>29464.1</v>
      </c>
      <c r="I41" t="s">
        <v>11</v>
      </c>
    </row>
    <row r="42" spans="1:9" x14ac:dyDescent="0.2">
      <c r="A42" t="s">
        <v>18</v>
      </c>
      <c r="B42" t="s">
        <v>10</v>
      </c>
      <c r="C42" s="3">
        <v>43664</v>
      </c>
      <c r="D42" s="3">
        <v>43664</v>
      </c>
      <c r="E42" s="3">
        <v>43694</v>
      </c>
      <c r="F42" s="3"/>
      <c r="G42">
        <v>27884</v>
      </c>
      <c r="H42">
        <v>32345.4</v>
      </c>
      <c r="I42" t="s">
        <v>11</v>
      </c>
    </row>
    <row r="43" spans="1:9" x14ac:dyDescent="0.2">
      <c r="A43" t="s">
        <v>18</v>
      </c>
      <c r="B43" t="s">
        <v>10</v>
      </c>
      <c r="C43" s="3">
        <v>43664</v>
      </c>
      <c r="D43" s="3">
        <v>43664</v>
      </c>
      <c r="E43" s="3">
        <v>43694</v>
      </c>
      <c r="F43" s="3"/>
      <c r="G43">
        <v>22431</v>
      </c>
      <c r="H43">
        <v>26019.9</v>
      </c>
      <c r="I43" t="s">
        <v>11</v>
      </c>
    </row>
    <row r="44" spans="1:9" x14ac:dyDescent="0.2">
      <c r="A44" t="s">
        <v>18</v>
      </c>
      <c r="B44" t="s">
        <v>10</v>
      </c>
      <c r="C44" s="3">
        <v>43664</v>
      </c>
      <c r="D44" s="3">
        <v>43664</v>
      </c>
      <c r="E44" s="3">
        <v>43694</v>
      </c>
      <c r="F44" s="3"/>
      <c r="G44">
        <v>22003</v>
      </c>
      <c r="H44">
        <v>25523.4</v>
      </c>
      <c r="I44" t="s">
        <v>11</v>
      </c>
    </row>
    <row r="45" spans="1:9" x14ac:dyDescent="0.2">
      <c r="A45" t="s">
        <v>24</v>
      </c>
      <c r="B45" t="s">
        <v>10</v>
      </c>
      <c r="C45" s="3">
        <v>43663</v>
      </c>
      <c r="D45" s="3">
        <v>43663</v>
      </c>
      <c r="E45" s="3">
        <v>43663</v>
      </c>
      <c r="F45" s="3"/>
      <c r="G45">
        <v>3297</v>
      </c>
      <c r="H45">
        <v>3824.52</v>
      </c>
      <c r="I45" t="s">
        <v>11</v>
      </c>
    </row>
    <row r="46" spans="1:9" x14ac:dyDescent="0.2">
      <c r="A46" t="s">
        <v>21</v>
      </c>
      <c r="B46" t="s">
        <v>10</v>
      </c>
      <c r="C46" s="3">
        <v>43663</v>
      </c>
      <c r="D46" s="3">
        <v>43663</v>
      </c>
      <c r="E46" s="3">
        <v>43670</v>
      </c>
      <c r="F46" s="3"/>
      <c r="G46">
        <v>5520</v>
      </c>
      <c r="H46">
        <v>6403.2</v>
      </c>
      <c r="I46" t="s">
        <v>11</v>
      </c>
    </row>
    <row r="47" spans="1:9" x14ac:dyDescent="0.2">
      <c r="A47" t="s">
        <v>25</v>
      </c>
      <c r="B47" t="s">
        <v>10</v>
      </c>
      <c r="C47" s="3">
        <v>43663</v>
      </c>
      <c r="D47" s="3">
        <v>43663</v>
      </c>
      <c r="E47" s="3">
        <v>43693</v>
      </c>
      <c r="F47" s="3"/>
      <c r="G47">
        <v>6124</v>
      </c>
      <c r="H47">
        <v>7103.84</v>
      </c>
      <c r="I47" t="s">
        <v>11</v>
      </c>
    </row>
    <row r="48" spans="1:9" x14ac:dyDescent="0.2">
      <c r="A48" t="s">
        <v>18</v>
      </c>
      <c r="B48" t="s">
        <v>10</v>
      </c>
      <c r="C48" s="3">
        <v>43662</v>
      </c>
      <c r="D48" s="3">
        <v>43662</v>
      </c>
      <c r="E48" s="3">
        <v>43692</v>
      </c>
      <c r="F48" s="3"/>
      <c r="G48">
        <v>46904</v>
      </c>
      <c r="H48">
        <v>54408.6</v>
      </c>
      <c r="I48" t="s">
        <v>11</v>
      </c>
    </row>
    <row r="49" spans="1:9" x14ac:dyDescent="0.2">
      <c r="A49" t="s">
        <v>18</v>
      </c>
      <c r="B49" t="s">
        <v>10</v>
      </c>
      <c r="C49" s="3">
        <v>43662</v>
      </c>
      <c r="D49" s="3">
        <v>43662</v>
      </c>
      <c r="E49" s="3">
        <v>43692</v>
      </c>
      <c r="F49" s="3"/>
      <c r="G49">
        <v>12399</v>
      </c>
      <c r="H49">
        <v>14382.8</v>
      </c>
      <c r="I49" t="s">
        <v>11</v>
      </c>
    </row>
    <row r="50" spans="1:9" x14ac:dyDescent="0.2">
      <c r="A50" t="s">
        <v>18</v>
      </c>
      <c r="B50" t="s">
        <v>10</v>
      </c>
      <c r="C50" s="3">
        <v>43662</v>
      </c>
      <c r="D50" s="3">
        <v>43662</v>
      </c>
      <c r="E50" s="3">
        <v>43692</v>
      </c>
      <c r="F50" s="3"/>
      <c r="G50">
        <v>13034</v>
      </c>
      <c r="H50">
        <v>15119.4</v>
      </c>
      <c r="I50" t="s">
        <v>11</v>
      </c>
    </row>
    <row r="51" spans="1:9" x14ac:dyDescent="0.2">
      <c r="A51" t="s">
        <v>16</v>
      </c>
      <c r="B51" t="s">
        <v>10</v>
      </c>
      <c r="C51" s="3">
        <v>43662</v>
      </c>
      <c r="D51" s="3">
        <v>43662</v>
      </c>
      <c r="E51" s="3">
        <v>43677</v>
      </c>
      <c r="F51" s="3"/>
      <c r="G51">
        <v>69554</v>
      </c>
      <c r="H51">
        <v>80682.600000000006</v>
      </c>
      <c r="I51" t="s">
        <v>11</v>
      </c>
    </row>
    <row r="52" spans="1:9" x14ac:dyDescent="0.2">
      <c r="A52" t="s">
        <v>26</v>
      </c>
      <c r="B52" t="s">
        <v>10</v>
      </c>
      <c r="C52" s="3">
        <v>43657</v>
      </c>
      <c r="D52" s="3">
        <v>43657</v>
      </c>
      <c r="E52" s="3">
        <v>43664</v>
      </c>
      <c r="F52" s="3"/>
      <c r="G52">
        <v>6220</v>
      </c>
      <c r="H52">
        <v>7215.2</v>
      </c>
      <c r="I52" t="s">
        <v>11</v>
      </c>
    </row>
    <row r="53" spans="1:9" x14ac:dyDescent="0.2">
      <c r="A53" t="s">
        <v>27</v>
      </c>
      <c r="B53" t="s">
        <v>10</v>
      </c>
      <c r="C53" s="3">
        <v>43656</v>
      </c>
      <c r="D53" s="3">
        <v>43656</v>
      </c>
      <c r="E53" s="3">
        <v>43671</v>
      </c>
      <c r="F53" s="3"/>
      <c r="G53">
        <v>14938.9</v>
      </c>
      <c r="H53">
        <v>17329.099999999999</v>
      </c>
      <c r="I53" t="s">
        <v>11</v>
      </c>
    </row>
    <row r="54" spans="1:9" x14ac:dyDescent="0.2">
      <c r="A54" t="s">
        <v>27</v>
      </c>
      <c r="B54" t="s">
        <v>10</v>
      </c>
      <c r="C54" s="3">
        <v>43656</v>
      </c>
      <c r="D54" s="3">
        <v>43656</v>
      </c>
      <c r="E54" s="3">
        <v>43671</v>
      </c>
      <c r="F54" s="3"/>
      <c r="G54">
        <v>14938.9</v>
      </c>
      <c r="H54">
        <v>17329.099999999999</v>
      </c>
      <c r="I54" t="s">
        <v>11</v>
      </c>
    </row>
    <row r="55" spans="1:9" x14ac:dyDescent="0.2">
      <c r="A55" t="s">
        <v>18</v>
      </c>
      <c r="B55" t="s">
        <v>10</v>
      </c>
      <c r="C55" s="3">
        <v>43656</v>
      </c>
      <c r="D55" s="3">
        <v>43656</v>
      </c>
      <c r="E55" s="3">
        <v>43686</v>
      </c>
      <c r="F55" s="3"/>
      <c r="G55">
        <v>8063</v>
      </c>
      <c r="H55">
        <v>9353.08</v>
      </c>
      <c r="I55" t="s">
        <v>11</v>
      </c>
    </row>
    <row r="56" spans="1:9" x14ac:dyDescent="0.2">
      <c r="A56" t="s">
        <v>20</v>
      </c>
      <c r="B56" t="s">
        <v>10</v>
      </c>
      <c r="C56" s="3">
        <v>43655</v>
      </c>
      <c r="D56" s="3">
        <v>43655</v>
      </c>
      <c r="E56" s="3">
        <v>43700</v>
      </c>
      <c r="F56" s="3"/>
      <c r="G56">
        <v>34905</v>
      </c>
      <c r="H56">
        <v>40489.800000000003</v>
      </c>
      <c r="I56" t="s">
        <v>11</v>
      </c>
    </row>
    <row r="57" spans="1:9" x14ac:dyDescent="0.2">
      <c r="A57" t="s">
        <v>19</v>
      </c>
      <c r="B57" t="s">
        <v>10</v>
      </c>
      <c r="C57" s="3">
        <v>43655</v>
      </c>
      <c r="D57" s="3">
        <v>43622</v>
      </c>
      <c r="E57" s="3">
        <v>43670</v>
      </c>
      <c r="F57" s="3"/>
      <c r="G57">
        <v>21840</v>
      </c>
      <c r="H57">
        <v>25334.400000000001</v>
      </c>
      <c r="I57" t="s">
        <v>11</v>
      </c>
    </row>
    <row r="58" spans="1:9" x14ac:dyDescent="0.2">
      <c r="A58" t="s">
        <v>19</v>
      </c>
      <c r="B58" t="s">
        <v>10</v>
      </c>
      <c r="C58" s="3">
        <v>43655</v>
      </c>
      <c r="D58" s="3">
        <v>43635</v>
      </c>
      <c r="E58" s="3">
        <v>43670</v>
      </c>
      <c r="F58" s="3"/>
      <c r="G58">
        <v>47222</v>
      </c>
      <c r="H58">
        <v>54777.5</v>
      </c>
      <c r="I58" t="s">
        <v>11</v>
      </c>
    </row>
    <row r="59" spans="1:9" x14ac:dyDescent="0.2">
      <c r="A59" t="s">
        <v>19</v>
      </c>
      <c r="B59" t="s">
        <v>10</v>
      </c>
      <c r="C59" s="3">
        <v>43655</v>
      </c>
      <c r="D59" s="3">
        <v>43630</v>
      </c>
      <c r="E59" s="3">
        <v>43670</v>
      </c>
      <c r="F59" s="3"/>
      <c r="G59">
        <v>35532</v>
      </c>
      <c r="H59">
        <v>41217.1</v>
      </c>
      <c r="I59" t="s">
        <v>11</v>
      </c>
    </row>
    <row r="60" spans="1:9" x14ac:dyDescent="0.2">
      <c r="A60" t="s">
        <v>19</v>
      </c>
      <c r="B60" t="s">
        <v>10</v>
      </c>
      <c r="C60" s="3">
        <v>43655</v>
      </c>
      <c r="D60" s="3">
        <v>43630</v>
      </c>
      <c r="E60" s="3">
        <v>43670</v>
      </c>
      <c r="F60" s="3"/>
      <c r="G60">
        <v>44941</v>
      </c>
      <c r="H60">
        <v>52131.5</v>
      </c>
      <c r="I60" t="s">
        <v>11</v>
      </c>
    </row>
    <row r="61" spans="1:9" x14ac:dyDescent="0.2">
      <c r="A61" t="s">
        <v>19</v>
      </c>
      <c r="B61" t="s">
        <v>10</v>
      </c>
      <c r="C61" s="3">
        <v>43655</v>
      </c>
      <c r="D61" s="3">
        <v>43642</v>
      </c>
      <c r="E61" s="3">
        <v>43670</v>
      </c>
      <c r="F61" s="3"/>
      <c r="G61">
        <v>39610</v>
      </c>
      <c r="H61">
        <v>45947.6</v>
      </c>
      <c r="I61" t="s">
        <v>11</v>
      </c>
    </row>
    <row r="62" spans="1:9" x14ac:dyDescent="0.2">
      <c r="A62" t="s">
        <v>19</v>
      </c>
      <c r="B62" t="s">
        <v>10</v>
      </c>
      <c r="C62" s="3">
        <v>43655</v>
      </c>
      <c r="D62" s="3">
        <v>43620</v>
      </c>
      <c r="E62" s="3">
        <v>43670</v>
      </c>
      <c r="F62" s="3"/>
      <c r="G62">
        <v>45277</v>
      </c>
      <c r="H62">
        <v>52521.3</v>
      </c>
      <c r="I62" t="s">
        <v>11</v>
      </c>
    </row>
    <row r="63" spans="1:9" x14ac:dyDescent="0.2">
      <c r="A63" t="s">
        <v>19</v>
      </c>
      <c r="B63" t="s">
        <v>10</v>
      </c>
      <c r="C63" s="3">
        <v>43655</v>
      </c>
      <c r="D63" s="3">
        <v>43642</v>
      </c>
      <c r="E63" s="3">
        <v>43670</v>
      </c>
      <c r="F63" s="3"/>
      <c r="G63">
        <v>46174</v>
      </c>
      <c r="H63">
        <v>53561.8</v>
      </c>
      <c r="I63" t="s">
        <v>11</v>
      </c>
    </row>
    <row r="64" spans="1:9" x14ac:dyDescent="0.2">
      <c r="A64" t="s">
        <v>19</v>
      </c>
      <c r="B64" t="s">
        <v>10</v>
      </c>
      <c r="C64" s="3">
        <v>43655</v>
      </c>
      <c r="D64" s="3">
        <v>43640</v>
      </c>
      <c r="E64" s="3">
        <v>43670</v>
      </c>
      <c r="F64" s="3"/>
      <c r="G64">
        <v>44896</v>
      </c>
      <c r="H64">
        <v>52079.3</v>
      </c>
      <c r="I64" t="s">
        <v>11</v>
      </c>
    </row>
    <row r="65" spans="1:9" x14ac:dyDescent="0.2">
      <c r="A65" t="s">
        <v>19</v>
      </c>
      <c r="B65" t="s">
        <v>10</v>
      </c>
      <c r="C65" s="3">
        <v>43655</v>
      </c>
      <c r="D65" s="3">
        <v>43627</v>
      </c>
      <c r="E65" s="3">
        <v>43670</v>
      </c>
      <c r="F65" s="3"/>
      <c r="G65">
        <v>45974</v>
      </c>
      <c r="H65">
        <v>53329.8</v>
      </c>
      <c r="I65" t="s">
        <v>11</v>
      </c>
    </row>
    <row r="66" spans="1:9" x14ac:dyDescent="0.2">
      <c r="A66" t="s">
        <v>19</v>
      </c>
      <c r="B66" t="s">
        <v>10</v>
      </c>
      <c r="C66" s="3">
        <v>43655</v>
      </c>
      <c r="D66" s="3">
        <v>43641</v>
      </c>
      <c r="E66" s="3">
        <v>43670</v>
      </c>
      <c r="F66" s="3"/>
      <c r="G66">
        <v>46255</v>
      </c>
      <c r="H66">
        <v>53655.8</v>
      </c>
      <c r="I66" t="s">
        <v>11</v>
      </c>
    </row>
    <row r="67" spans="1:9" x14ac:dyDescent="0.2">
      <c r="A67" t="s">
        <v>19</v>
      </c>
      <c r="B67" t="s">
        <v>10</v>
      </c>
      <c r="C67" s="3">
        <v>43655</v>
      </c>
      <c r="D67" s="3">
        <v>43634</v>
      </c>
      <c r="E67" s="3">
        <v>43670</v>
      </c>
      <c r="F67" s="3"/>
      <c r="G67">
        <v>37338</v>
      </c>
      <c r="H67">
        <v>43312</v>
      </c>
      <c r="I67" t="s">
        <v>11</v>
      </c>
    </row>
    <row r="68" spans="1:9" x14ac:dyDescent="0.2">
      <c r="A68" t="s">
        <v>19</v>
      </c>
      <c r="B68" t="s">
        <v>10</v>
      </c>
      <c r="C68" s="3">
        <v>43655</v>
      </c>
      <c r="D68" s="3">
        <v>43628</v>
      </c>
      <c r="E68" s="3">
        <v>43670</v>
      </c>
      <c r="F68" s="3"/>
      <c r="G68">
        <v>44813</v>
      </c>
      <c r="H68">
        <v>51983</v>
      </c>
      <c r="I68" t="s">
        <v>11</v>
      </c>
    </row>
    <row r="69" spans="1:9" x14ac:dyDescent="0.2">
      <c r="A69" t="s">
        <v>19</v>
      </c>
      <c r="B69" t="s">
        <v>10</v>
      </c>
      <c r="C69" s="3">
        <v>43655</v>
      </c>
      <c r="D69" s="3">
        <v>43628</v>
      </c>
      <c r="E69" s="3">
        <v>43670</v>
      </c>
      <c r="F69" s="3"/>
      <c r="G69">
        <v>39899</v>
      </c>
      <c r="H69">
        <v>46282.8</v>
      </c>
      <c r="I69" t="s">
        <v>11</v>
      </c>
    </row>
    <row r="70" spans="1:9" x14ac:dyDescent="0.2">
      <c r="A70" t="s">
        <v>19</v>
      </c>
      <c r="B70" t="s">
        <v>10</v>
      </c>
      <c r="C70" s="3">
        <v>43650</v>
      </c>
      <c r="D70" s="3">
        <v>43650</v>
      </c>
      <c r="E70" s="3">
        <v>43665</v>
      </c>
      <c r="F70" s="3"/>
      <c r="G70">
        <v>7000</v>
      </c>
      <c r="H70">
        <v>8120</v>
      </c>
      <c r="I70" t="s">
        <v>11</v>
      </c>
    </row>
    <row r="71" spans="1:9" x14ac:dyDescent="0.2">
      <c r="A71" t="s">
        <v>19</v>
      </c>
      <c r="B71" t="s">
        <v>10</v>
      </c>
      <c r="C71" s="3">
        <v>43650</v>
      </c>
      <c r="D71" s="3">
        <v>43650</v>
      </c>
      <c r="E71" s="3">
        <v>43665</v>
      </c>
      <c r="F71" s="3"/>
      <c r="G71">
        <v>5000</v>
      </c>
      <c r="H71">
        <v>5800</v>
      </c>
      <c r="I71" t="s">
        <v>11</v>
      </c>
    </row>
    <row r="72" spans="1:9" x14ac:dyDescent="0.2">
      <c r="A72" t="s">
        <v>19</v>
      </c>
      <c r="B72" t="s">
        <v>10</v>
      </c>
      <c r="C72" s="3">
        <v>43650</v>
      </c>
      <c r="D72" s="3">
        <v>43650</v>
      </c>
      <c r="E72" s="3">
        <v>43665</v>
      </c>
      <c r="F72" s="3"/>
      <c r="G72">
        <v>5000</v>
      </c>
      <c r="H72">
        <v>5800</v>
      </c>
      <c r="I72" t="s">
        <v>11</v>
      </c>
    </row>
    <row r="73" spans="1:9" x14ac:dyDescent="0.2">
      <c r="A73" t="s">
        <v>16</v>
      </c>
      <c r="B73" t="s">
        <v>10</v>
      </c>
      <c r="C73" s="3">
        <v>43650</v>
      </c>
      <c r="D73" s="3">
        <v>43650</v>
      </c>
      <c r="E73" s="3">
        <v>43665</v>
      </c>
      <c r="F73" s="3"/>
      <c r="G73">
        <v>5500</v>
      </c>
      <c r="H73">
        <v>6380</v>
      </c>
      <c r="I73" t="s">
        <v>11</v>
      </c>
    </row>
    <row r="74" spans="1:9" x14ac:dyDescent="0.2">
      <c r="A74" t="s">
        <v>21</v>
      </c>
      <c r="B74" t="s">
        <v>10</v>
      </c>
      <c r="C74" s="3">
        <v>43649</v>
      </c>
      <c r="D74" s="3">
        <v>43649</v>
      </c>
      <c r="E74" s="3">
        <v>43656</v>
      </c>
      <c r="F74" s="3"/>
      <c r="G74">
        <v>19300</v>
      </c>
      <c r="H74">
        <v>22388</v>
      </c>
      <c r="I74" t="s">
        <v>11</v>
      </c>
    </row>
    <row r="75" spans="1:9" x14ac:dyDescent="0.2">
      <c r="A75" t="s">
        <v>18</v>
      </c>
      <c r="B75" t="s">
        <v>10</v>
      </c>
      <c r="C75" s="3">
        <v>43648</v>
      </c>
      <c r="D75" s="3">
        <v>43648</v>
      </c>
      <c r="E75" s="3">
        <v>43678</v>
      </c>
      <c r="F75" s="3"/>
      <c r="G75">
        <v>24980</v>
      </c>
      <c r="H75">
        <v>28976.799999999999</v>
      </c>
      <c r="I75" t="s">
        <v>11</v>
      </c>
    </row>
    <row r="76" spans="1:9" x14ac:dyDescent="0.2">
      <c r="A76" t="s">
        <v>15</v>
      </c>
      <c r="B76" t="s">
        <v>10</v>
      </c>
      <c r="C76" s="3">
        <v>43647</v>
      </c>
      <c r="D76" s="3">
        <v>43647</v>
      </c>
      <c r="E76" s="3">
        <v>43667</v>
      </c>
      <c r="F76" s="3"/>
      <c r="G76">
        <v>5265</v>
      </c>
      <c r="H76">
        <v>6107.4</v>
      </c>
      <c r="I76" t="s">
        <v>11</v>
      </c>
    </row>
    <row r="77" spans="1:9" x14ac:dyDescent="0.2">
      <c r="A77" t="s">
        <v>19</v>
      </c>
      <c r="B77" t="s">
        <v>10</v>
      </c>
      <c r="C77" s="3">
        <v>43647</v>
      </c>
      <c r="D77" s="3">
        <v>43642</v>
      </c>
      <c r="E77" s="3">
        <v>43662</v>
      </c>
      <c r="F77" s="3"/>
      <c r="G77">
        <v>6954</v>
      </c>
      <c r="H77">
        <v>8066.64</v>
      </c>
      <c r="I77" t="s">
        <v>11</v>
      </c>
    </row>
    <row r="78" spans="1:9" x14ac:dyDescent="0.2">
      <c r="A78" t="s">
        <v>18</v>
      </c>
      <c r="B78" t="s">
        <v>10</v>
      </c>
      <c r="C78" s="3">
        <v>43644</v>
      </c>
      <c r="D78" s="3">
        <v>43644</v>
      </c>
      <c r="E78" s="3">
        <v>43674</v>
      </c>
      <c r="F78" s="3"/>
      <c r="G78">
        <v>11280</v>
      </c>
      <c r="H78">
        <v>13084.8</v>
      </c>
      <c r="I78" t="s">
        <v>11</v>
      </c>
    </row>
    <row r="79" spans="1:9" x14ac:dyDescent="0.2">
      <c r="A79" t="s">
        <v>18</v>
      </c>
      <c r="B79" t="s">
        <v>10</v>
      </c>
      <c r="C79" s="3">
        <v>43644</v>
      </c>
      <c r="D79" s="3">
        <v>43642</v>
      </c>
      <c r="E79" s="3">
        <v>43674</v>
      </c>
      <c r="F79" s="3"/>
      <c r="G79">
        <v>46350</v>
      </c>
      <c r="H79">
        <v>53766</v>
      </c>
      <c r="I79" t="s">
        <v>11</v>
      </c>
    </row>
    <row r="80" spans="1:9" x14ac:dyDescent="0.2">
      <c r="A80" t="s">
        <v>20</v>
      </c>
      <c r="B80" t="s">
        <v>10</v>
      </c>
      <c r="C80" s="3">
        <v>43643</v>
      </c>
      <c r="D80" s="3">
        <v>43643</v>
      </c>
      <c r="E80" s="3">
        <v>43688</v>
      </c>
      <c r="F80" s="3"/>
      <c r="G80">
        <v>28597</v>
      </c>
      <c r="H80">
        <v>33172.5</v>
      </c>
      <c r="I80" t="s">
        <v>11</v>
      </c>
    </row>
    <row r="81" spans="1:9" x14ac:dyDescent="0.2">
      <c r="A81" t="s">
        <v>15</v>
      </c>
      <c r="B81" t="s">
        <v>10</v>
      </c>
      <c r="C81" s="3">
        <v>43642</v>
      </c>
      <c r="D81" s="3">
        <v>43642</v>
      </c>
      <c r="E81" s="3">
        <v>43662</v>
      </c>
      <c r="F81" s="3"/>
      <c r="G81">
        <v>3242.4</v>
      </c>
      <c r="H81">
        <v>3761.18</v>
      </c>
      <c r="I81" t="s">
        <v>11</v>
      </c>
    </row>
    <row r="82" spans="1:9" x14ac:dyDescent="0.2">
      <c r="A82" t="s">
        <v>18</v>
      </c>
      <c r="B82" t="s">
        <v>10</v>
      </c>
      <c r="C82" s="3">
        <v>43642</v>
      </c>
      <c r="D82" s="3">
        <v>43642</v>
      </c>
      <c r="E82" s="3">
        <v>43672</v>
      </c>
      <c r="F82" s="3"/>
      <c r="G82">
        <v>14124</v>
      </c>
      <c r="H82">
        <v>16383.8</v>
      </c>
      <c r="I82" t="s">
        <v>11</v>
      </c>
    </row>
    <row r="83" spans="1:9" x14ac:dyDescent="0.2">
      <c r="A83" t="s">
        <v>18</v>
      </c>
      <c r="B83" t="s">
        <v>10</v>
      </c>
      <c r="C83" s="3">
        <v>43642</v>
      </c>
      <c r="D83" s="3">
        <v>43642</v>
      </c>
      <c r="E83" s="3">
        <v>43672</v>
      </c>
      <c r="F83" s="3"/>
      <c r="G83">
        <v>25046</v>
      </c>
      <c r="H83">
        <v>29053.3</v>
      </c>
      <c r="I83" t="s">
        <v>11</v>
      </c>
    </row>
    <row r="84" spans="1:9" x14ac:dyDescent="0.2">
      <c r="A84" t="s">
        <v>18</v>
      </c>
      <c r="B84" t="s">
        <v>10</v>
      </c>
      <c r="C84" s="3">
        <v>43642</v>
      </c>
      <c r="D84" s="3">
        <v>43642</v>
      </c>
      <c r="E84" s="3">
        <v>43672</v>
      </c>
      <c r="F84" s="3"/>
      <c r="G84">
        <v>25046</v>
      </c>
      <c r="H84">
        <v>29053.3</v>
      </c>
      <c r="I84" t="s">
        <v>11</v>
      </c>
    </row>
    <row r="85" spans="1:9" x14ac:dyDescent="0.2">
      <c r="A85" t="s">
        <v>12</v>
      </c>
      <c r="B85" t="s">
        <v>10</v>
      </c>
      <c r="C85" s="3">
        <v>43641</v>
      </c>
      <c r="D85" s="3">
        <v>43641</v>
      </c>
      <c r="E85" s="3">
        <v>43671</v>
      </c>
      <c r="F85" s="3"/>
      <c r="G85">
        <v>102567</v>
      </c>
      <c r="H85">
        <v>102567</v>
      </c>
      <c r="I85" t="s">
        <v>11</v>
      </c>
    </row>
    <row r="86" spans="1:9" x14ac:dyDescent="0.2">
      <c r="A86" t="s">
        <v>15</v>
      </c>
      <c r="B86" t="s">
        <v>10</v>
      </c>
      <c r="C86" s="3">
        <v>43641</v>
      </c>
      <c r="D86" s="3">
        <v>43641</v>
      </c>
      <c r="E86" s="3">
        <v>43661</v>
      </c>
      <c r="F86" s="3"/>
      <c r="G86">
        <v>5500.5</v>
      </c>
      <c r="H86">
        <v>6380.58</v>
      </c>
      <c r="I86" t="s">
        <v>11</v>
      </c>
    </row>
    <row r="87" spans="1:9" x14ac:dyDescent="0.2">
      <c r="A87" t="s">
        <v>16</v>
      </c>
      <c r="B87" t="s">
        <v>10</v>
      </c>
      <c r="C87" s="3">
        <v>43641</v>
      </c>
      <c r="D87" s="3">
        <v>43641</v>
      </c>
      <c r="E87" s="3">
        <v>43656</v>
      </c>
      <c r="F87" s="3"/>
      <c r="G87">
        <v>64460</v>
      </c>
      <c r="H87">
        <v>74773.600000000006</v>
      </c>
      <c r="I87" t="s">
        <v>11</v>
      </c>
    </row>
    <row r="88" spans="1:9" x14ac:dyDescent="0.2">
      <c r="A88" t="s">
        <v>17</v>
      </c>
      <c r="B88" t="s">
        <v>10</v>
      </c>
      <c r="C88" s="3">
        <v>43641</v>
      </c>
      <c r="D88" s="3">
        <v>43640</v>
      </c>
      <c r="E88" s="3">
        <v>43686</v>
      </c>
      <c r="F88" s="3"/>
      <c r="G88">
        <v>31069</v>
      </c>
      <c r="H88">
        <v>36040</v>
      </c>
      <c r="I88" t="s">
        <v>11</v>
      </c>
    </row>
    <row r="89" spans="1:9" x14ac:dyDescent="0.2">
      <c r="A89" t="s">
        <v>18</v>
      </c>
      <c r="B89" t="s">
        <v>10</v>
      </c>
      <c r="C89" s="3">
        <v>43640</v>
      </c>
      <c r="D89" s="3">
        <v>43640</v>
      </c>
      <c r="E89" s="3">
        <v>43670</v>
      </c>
      <c r="F89" s="3"/>
      <c r="G89">
        <v>18188</v>
      </c>
      <c r="H89">
        <v>21098</v>
      </c>
      <c r="I89" t="s">
        <v>11</v>
      </c>
    </row>
    <row r="90" spans="1:9" x14ac:dyDescent="0.2">
      <c r="A90" t="s">
        <v>28</v>
      </c>
      <c r="B90" t="s">
        <v>10</v>
      </c>
      <c r="C90" s="3">
        <v>43640</v>
      </c>
      <c r="D90" s="3">
        <v>43640</v>
      </c>
      <c r="E90" s="3">
        <v>43655</v>
      </c>
      <c r="F90" s="3"/>
      <c r="G90">
        <v>550</v>
      </c>
      <c r="H90">
        <v>638</v>
      </c>
      <c r="I90" t="s">
        <v>11</v>
      </c>
    </row>
    <row r="91" spans="1:9" x14ac:dyDescent="0.2">
      <c r="A91" t="s">
        <v>15</v>
      </c>
      <c r="B91" t="s">
        <v>10</v>
      </c>
      <c r="C91" s="3">
        <v>43640</v>
      </c>
      <c r="D91" s="3">
        <v>43640</v>
      </c>
      <c r="E91" s="3">
        <v>43660</v>
      </c>
      <c r="F91" s="3"/>
      <c r="G91">
        <v>6484.8</v>
      </c>
      <c r="H91">
        <v>7522.37</v>
      </c>
      <c r="I91" t="s">
        <v>11</v>
      </c>
    </row>
    <row r="92" spans="1:9" x14ac:dyDescent="0.2">
      <c r="A92" t="s">
        <v>9</v>
      </c>
      <c r="B92" t="s">
        <v>10</v>
      </c>
      <c r="C92" s="3">
        <v>43637</v>
      </c>
      <c r="D92" s="3">
        <v>43637</v>
      </c>
      <c r="E92" s="3">
        <v>43644</v>
      </c>
      <c r="F92" s="3"/>
      <c r="G92">
        <v>8808</v>
      </c>
      <c r="H92">
        <v>10217.200000000001</v>
      </c>
      <c r="I92" t="s">
        <v>11</v>
      </c>
    </row>
    <row r="93" spans="1:9" x14ac:dyDescent="0.2">
      <c r="A93" t="s">
        <v>22</v>
      </c>
      <c r="B93" t="s">
        <v>10</v>
      </c>
      <c r="C93" s="3">
        <v>43637</v>
      </c>
      <c r="D93" s="3">
        <v>43637</v>
      </c>
      <c r="E93" s="3">
        <v>43667</v>
      </c>
      <c r="F93" s="3"/>
      <c r="G93">
        <v>43730.400000000001</v>
      </c>
      <c r="H93">
        <v>50727.199999999997</v>
      </c>
      <c r="I93" t="s">
        <v>11</v>
      </c>
    </row>
    <row r="94" spans="1:9" x14ac:dyDescent="0.2">
      <c r="A94" t="s">
        <v>15</v>
      </c>
      <c r="B94" t="s">
        <v>10</v>
      </c>
      <c r="C94" s="3">
        <v>43635</v>
      </c>
      <c r="D94" s="3">
        <v>43635</v>
      </c>
      <c r="E94" s="3">
        <v>43655</v>
      </c>
      <c r="F94" s="3"/>
      <c r="G94">
        <v>7063.8</v>
      </c>
      <c r="H94">
        <v>8194.01</v>
      </c>
      <c r="I94" t="s">
        <v>11</v>
      </c>
    </row>
    <row r="95" spans="1:9" x14ac:dyDescent="0.2">
      <c r="A95" t="s">
        <v>22</v>
      </c>
      <c r="B95" t="s">
        <v>10</v>
      </c>
      <c r="C95" s="3">
        <v>43634</v>
      </c>
      <c r="D95" s="3">
        <v>43634</v>
      </c>
      <c r="E95" s="3">
        <v>43664</v>
      </c>
      <c r="F95" s="3"/>
      <c r="G95">
        <v>54194.5</v>
      </c>
      <c r="H95">
        <v>62865.599999999999</v>
      </c>
      <c r="I95" t="s">
        <v>11</v>
      </c>
    </row>
    <row r="96" spans="1:9" x14ac:dyDescent="0.2">
      <c r="A96" t="s">
        <v>22</v>
      </c>
      <c r="B96" t="s">
        <v>10</v>
      </c>
      <c r="C96" s="3">
        <v>43634</v>
      </c>
      <c r="D96" s="3">
        <v>43634</v>
      </c>
      <c r="E96" s="3">
        <v>43664</v>
      </c>
      <c r="F96" s="3"/>
      <c r="G96">
        <v>1480</v>
      </c>
      <c r="H96">
        <v>1716.8</v>
      </c>
      <c r="I96" t="s">
        <v>11</v>
      </c>
    </row>
    <row r="97" spans="1:9" x14ac:dyDescent="0.2">
      <c r="A97" t="s">
        <v>15</v>
      </c>
      <c r="B97" t="s">
        <v>10</v>
      </c>
      <c r="C97" s="3">
        <v>43634</v>
      </c>
      <c r="D97" s="3">
        <v>43634</v>
      </c>
      <c r="E97" s="3">
        <v>43654</v>
      </c>
      <c r="F97" s="3"/>
      <c r="G97">
        <v>2721.3</v>
      </c>
      <c r="H97">
        <v>3156.71</v>
      </c>
      <c r="I97" t="s">
        <v>11</v>
      </c>
    </row>
    <row r="98" spans="1:9" x14ac:dyDescent="0.2">
      <c r="A98" t="s">
        <v>15</v>
      </c>
      <c r="B98" t="s">
        <v>10</v>
      </c>
      <c r="C98" s="3">
        <v>43634</v>
      </c>
      <c r="D98" s="3">
        <v>43634</v>
      </c>
      <c r="E98" s="3">
        <v>43654</v>
      </c>
      <c r="F98" s="3"/>
      <c r="G98">
        <v>13645.1</v>
      </c>
      <c r="H98">
        <v>15828.3</v>
      </c>
      <c r="I98" t="s">
        <v>11</v>
      </c>
    </row>
    <row r="99" spans="1:9" x14ac:dyDescent="0.2">
      <c r="A99" t="s">
        <v>15</v>
      </c>
      <c r="B99" t="s">
        <v>10</v>
      </c>
      <c r="C99" s="3">
        <v>43634</v>
      </c>
      <c r="D99" s="3">
        <v>43634</v>
      </c>
      <c r="E99" s="3">
        <v>43654</v>
      </c>
      <c r="F99" s="3"/>
      <c r="G99">
        <v>70445</v>
      </c>
      <c r="H99">
        <v>81716.2</v>
      </c>
      <c r="I99" t="s">
        <v>11</v>
      </c>
    </row>
    <row r="100" spans="1:9" x14ac:dyDescent="0.2">
      <c r="A100" t="s">
        <v>15</v>
      </c>
      <c r="B100" t="s">
        <v>10</v>
      </c>
      <c r="C100" s="3">
        <v>43634</v>
      </c>
      <c r="D100" s="3">
        <v>43634</v>
      </c>
      <c r="E100" s="3">
        <v>43654</v>
      </c>
      <c r="F100" s="3"/>
      <c r="G100">
        <v>45914.7</v>
      </c>
      <c r="H100">
        <v>53261</v>
      </c>
      <c r="I100" t="s">
        <v>11</v>
      </c>
    </row>
    <row r="101" spans="1:9" x14ac:dyDescent="0.2">
      <c r="A101" t="s">
        <v>30</v>
      </c>
      <c r="B101" t="s">
        <v>10</v>
      </c>
      <c r="C101" s="3">
        <v>43630</v>
      </c>
      <c r="D101" s="3">
        <v>43630</v>
      </c>
      <c r="E101" s="3">
        <v>43645</v>
      </c>
      <c r="F101" s="3"/>
      <c r="G101">
        <v>660</v>
      </c>
      <c r="H101">
        <v>765.6</v>
      </c>
      <c r="I101" t="s">
        <v>11</v>
      </c>
    </row>
    <row r="102" spans="1:9" x14ac:dyDescent="0.2">
      <c r="A102" t="s">
        <v>16</v>
      </c>
      <c r="B102" t="s">
        <v>10</v>
      </c>
      <c r="C102" s="3">
        <v>43629</v>
      </c>
      <c r="D102" s="3">
        <v>43629</v>
      </c>
      <c r="E102" s="3">
        <v>43644</v>
      </c>
      <c r="F102" s="3"/>
      <c r="G102">
        <v>18110</v>
      </c>
      <c r="H102">
        <v>21007.599999999999</v>
      </c>
      <c r="I102" t="s">
        <v>11</v>
      </c>
    </row>
    <row r="103" spans="1:9" x14ac:dyDescent="0.2">
      <c r="A103" t="s">
        <v>19</v>
      </c>
      <c r="B103" t="s">
        <v>10</v>
      </c>
      <c r="C103" s="3">
        <v>43629</v>
      </c>
      <c r="D103" s="3">
        <v>43629</v>
      </c>
      <c r="E103" s="3">
        <v>43644</v>
      </c>
      <c r="F103" s="3"/>
      <c r="G103">
        <v>6116</v>
      </c>
      <c r="H103">
        <v>7094.56</v>
      </c>
      <c r="I103" t="s">
        <v>11</v>
      </c>
    </row>
    <row r="104" spans="1:9" x14ac:dyDescent="0.2">
      <c r="A104" t="s">
        <v>31</v>
      </c>
      <c r="B104" t="s">
        <v>10</v>
      </c>
      <c r="C104" s="3">
        <v>43628</v>
      </c>
      <c r="D104" s="3">
        <v>43628</v>
      </c>
      <c r="E104" s="3">
        <v>43658</v>
      </c>
      <c r="F104" s="3"/>
      <c r="G104">
        <v>36261.1</v>
      </c>
      <c r="H104">
        <v>42062.9</v>
      </c>
      <c r="I104" t="s">
        <v>11</v>
      </c>
    </row>
    <row r="105" spans="1:9" x14ac:dyDescent="0.2">
      <c r="A105" t="s">
        <v>30</v>
      </c>
      <c r="B105" t="s">
        <v>10</v>
      </c>
      <c r="C105" s="3">
        <v>43627</v>
      </c>
      <c r="D105" s="3">
        <v>43627</v>
      </c>
      <c r="E105" s="3">
        <v>43642</v>
      </c>
      <c r="F105" s="3"/>
      <c r="G105">
        <v>1900</v>
      </c>
      <c r="H105">
        <v>2204</v>
      </c>
      <c r="I105" t="s">
        <v>11</v>
      </c>
    </row>
    <row r="106" spans="1:9" x14ac:dyDescent="0.2">
      <c r="A106" t="s">
        <v>16</v>
      </c>
      <c r="B106" t="s">
        <v>10</v>
      </c>
      <c r="C106" s="3">
        <v>43626</v>
      </c>
      <c r="D106" s="3">
        <v>43626</v>
      </c>
      <c r="E106" s="3">
        <v>43641</v>
      </c>
      <c r="F106" s="3"/>
      <c r="G106">
        <v>490</v>
      </c>
      <c r="H106">
        <v>568.4</v>
      </c>
      <c r="I106" t="s">
        <v>11</v>
      </c>
    </row>
    <row r="107" spans="1:9" x14ac:dyDescent="0.2">
      <c r="A107" t="s">
        <v>18</v>
      </c>
      <c r="B107" t="s">
        <v>10</v>
      </c>
      <c r="C107" s="3">
        <v>43626</v>
      </c>
      <c r="D107" s="3">
        <v>43626</v>
      </c>
      <c r="E107" s="3">
        <v>43656</v>
      </c>
      <c r="F107" s="3"/>
      <c r="G107">
        <v>23021</v>
      </c>
      <c r="H107">
        <v>26704.3</v>
      </c>
      <c r="I107" t="s">
        <v>11</v>
      </c>
    </row>
    <row r="108" spans="1:9" x14ac:dyDescent="0.2">
      <c r="A108" t="s">
        <v>18</v>
      </c>
      <c r="B108" t="s">
        <v>10</v>
      </c>
      <c r="C108" s="3">
        <v>43622</v>
      </c>
      <c r="D108" s="3">
        <v>43622</v>
      </c>
      <c r="E108" s="3">
        <v>43652</v>
      </c>
      <c r="F108" s="3"/>
      <c r="G108">
        <v>29480</v>
      </c>
      <c r="H108">
        <v>34196.800000000003</v>
      </c>
      <c r="I108" t="s">
        <v>11</v>
      </c>
    </row>
    <row r="109" spans="1:9" x14ac:dyDescent="0.2">
      <c r="A109" t="s">
        <v>18</v>
      </c>
      <c r="B109" t="s">
        <v>10</v>
      </c>
      <c r="C109" s="3">
        <v>43622</v>
      </c>
      <c r="D109" s="3">
        <v>43622</v>
      </c>
      <c r="E109" s="3">
        <v>43652</v>
      </c>
      <c r="F109" s="3"/>
      <c r="G109">
        <v>20498</v>
      </c>
      <c r="H109">
        <v>23777.599999999999</v>
      </c>
      <c r="I109" t="s">
        <v>11</v>
      </c>
    </row>
    <row r="110" spans="1:9" x14ac:dyDescent="0.2">
      <c r="A110" t="s">
        <v>13</v>
      </c>
      <c r="B110" t="s">
        <v>10</v>
      </c>
      <c r="C110" s="3">
        <v>43621</v>
      </c>
      <c r="D110" s="3">
        <v>43621</v>
      </c>
      <c r="E110" s="3">
        <v>43651</v>
      </c>
      <c r="F110" s="3"/>
      <c r="G110">
        <v>840</v>
      </c>
      <c r="H110">
        <v>974.4</v>
      </c>
      <c r="I110" t="s">
        <v>11</v>
      </c>
    </row>
    <row r="111" spans="1:9" x14ac:dyDescent="0.2">
      <c r="A111" t="s">
        <v>16</v>
      </c>
      <c r="B111" t="s">
        <v>10</v>
      </c>
      <c r="C111" s="3">
        <v>43621</v>
      </c>
      <c r="D111" s="3">
        <v>43621</v>
      </c>
      <c r="E111" s="3">
        <v>43636</v>
      </c>
      <c r="F111" s="3"/>
      <c r="G111">
        <v>17000</v>
      </c>
      <c r="H111">
        <v>19720</v>
      </c>
      <c r="I111" t="s">
        <v>11</v>
      </c>
    </row>
    <row r="112" spans="1:9" x14ac:dyDescent="0.2">
      <c r="A112" t="s">
        <v>19</v>
      </c>
      <c r="B112" t="s">
        <v>10</v>
      </c>
      <c r="C112" s="3">
        <v>43621</v>
      </c>
      <c r="D112" s="3">
        <v>43613</v>
      </c>
      <c r="E112" s="3">
        <v>43636</v>
      </c>
      <c r="F112" s="3"/>
      <c r="G112">
        <v>35957</v>
      </c>
      <c r="H112">
        <v>41710.1</v>
      </c>
      <c r="I112" t="s">
        <v>11</v>
      </c>
    </row>
    <row r="113" spans="1:9" x14ac:dyDescent="0.2">
      <c r="A113" t="s">
        <v>19</v>
      </c>
      <c r="B113" t="s">
        <v>10</v>
      </c>
      <c r="C113" s="3">
        <v>43621</v>
      </c>
      <c r="D113" s="3">
        <v>43614</v>
      </c>
      <c r="E113" s="3">
        <v>43636</v>
      </c>
      <c r="F113" s="3"/>
      <c r="G113">
        <v>36700</v>
      </c>
      <c r="H113">
        <v>42572</v>
      </c>
      <c r="I113" t="s">
        <v>11</v>
      </c>
    </row>
    <row r="114" spans="1:9" x14ac:dyDescent="0.2">
      <c r="A114" t="s">
        <v>19</v>
      </c>
      <c r="B114" t="s">
        <v>10</v>
      </c>
      <c r="C114" s="3">
        <v>43621</v>
      </c>
      <c r="D114" s="3">
        <v>43613</v>
      </c>
      <c r="E114" s="3">
        <v>43636</v>
      </c>
      <c r="F114" s="3"/>
      <c r="G114">
        <v>42229</v>
      </c>
      <c r="H114">
        <v>48985.599999999999</v>
      </c>
      <c r="I114" t="s">
        <v>11</v>
      </c>
    </row>
    <row r="115" spans="1:9" x14ac:dyDescent="0.2">
      <c r="A115" t="s">
        <v>19</v>
      </c>
      <c r="B115" t="s">
        <v>10</v>
      </c>
      <c r="C115" s="3">
        <v>43621</v>
      </c>
      <c r="D115" s="3">
        <v>43606</v>
      </c>
      <c r="E115" s="3">
        <v>43636</v>
      </c>
      <c r="F115" s="3"/>
      <c r="G115">
        <v>34741</v>
      </c>
      <c r="H115">
        <v>40299.5</v>
      </c>
      <c r="I115" t="s">
        <v>11</v>
      </c>
    </row>
    <row r="116" spans="1:9" x14ac:dyDescent="0.2">
      <c r="A116" t="s">
        <v>19</v>
      </c>
      <c r="B116" t="s">
        <v>10</v>
      </c>
      <c r="C116" s="3">
        <v>43621</v>
      </c>
      <c r="D116" s="3">
        <v>43606</v>
      </c>
      <c r="E116" s="3">
        <v>43636</v>
      </c>
      <c r="F116" s="3"/>
      <c r="G116">
        <v>49040</v>
      </c>
      <c r="H116">
        <v>56886.400000000001</v>
      </c>
      <c r="I116" t="s">
        <v>11</v>
      </c>
    </row>
    <row r="117" spans="1:9" x14ac:dyDescent="0.2">
      <c r="A117" t="s">
        <v>19</v>
      </c>
      <c r="B117" t="s">
        <v>10</v>
      </c>
      <c r="C117" s="3">
        <v>43621</v>
      </c>
      <c r="D117" s="3">
        <v>43599</v>
      </c>
      <c r="E117" s="3">
        <v>43636</v>
      </c>
      <c r="F117" s="3"/>
      <c r="G117">
        <v>42015</v>
      </c>
      <c r="H117">
        <v>48737.4</v>
      </c>
      <c r="I117" t="s">
        <v>11</v>
      </c>
    </row>
    <row r="118" spans="1:9" x14ac:dyDescent="0.2">
      <c r="A118" t="s">
        <v>19</v>
      </c>
      <c r="B118" t="s">
        <v>10</v>
      </c>
      <c r="C118" s="3">
        <v>43621</v>
      </c>
      <c r="D118" s="3">
        <v>43599</v>
      </c>
      <c r="E118" s="3">
        <v>43636</v>
      </c>
      <c r="F118" s="3"/>
      <c r="G118">
        <v>36608</v>
      </c>
      <c r="H118">
        <v>42465.2</v>
      </c>
      <c r="I118" t="s">
        <v>11</v>
      </c>
    </row>
    <row r="119" spans="1:9" x14ac:dyDescent="0.2">
      <c r="A119" t="s">
        <v>19</v>
      </c>
      <c r="B119" t="s">
        <v>10</v>
      </c>
      <c r="C119" s="3">
        <v>43621</v>
      </c>
      <c r="D119" s="3">
        <v>43606</v>
      </c>
      <c r="E119" s="3">
        <v>43636</v>
      </c>
      <c r="F119" s="3"/>
      <c r="G119">
        <v>48444</v>
      </c>
      <c r="H119">
        <v>56195</v>
      </c>
      <c r="I119" t="s">
        <v>11</v>
      </c>
    </row>
    <row r="120" spans="1:9" x14ac:dyDescent="0.2">
      <c r="A120" t="s">
        <v>19</v>
      </c>
      <c r="B120" t="s">
        <v>10</v>
      </c>
      <c r="C120" s="3">
        <v>43621</v>
      </c>
      <c r="D120" s="3">
        <v>43598</v>
      </c>
      <c r="E120" s="3">
        <v>43636</v>
      </c>
      <c r="F120" s="3"/>
      <c r="G120">
        <v>34693</v>
      </c>
      <c r="H120">
        <v>40243.800000000003</v>
      </c>
      <c r="I120" t="s">
        <v>11</v>
      </c>
    </row>
    <row r="121" spans="1:9" x14ac:dyDescent="0.2">
      <c r="A121" t="s">
        <v>18</v>
      </c>
      <c r="B121" t="s">
        <v>10</v>
      </c>
      <c r="C121" s="3">
        <v>43620</v>
      </c>
      <c r="D121" s="3">
        <v>43620</v>
      </c>
      <c r="E121" s="3">
        <v>43650</v>
      </c>
      <c r="F121" s="3"/>
      <c r="G121">
        <v>20866</v>
      </c>
      <c r="H121">
        <v>24204.5</v>
      </c>
      <c r="I121" t="s">
        <v>11</v>
      </c>
    </row>
    <row r="122" spans="1:9" x14ac:dyDescent="0.2">
      <c r="A122" t="s">
        <v>19</v>
      </c>
      <c r="B122" t="s">
        <v>10</v>
      </c>
      <c r="C122" s="3">
        <v>43620</v>
      </c>
      <c r="D122" s="3">
        <v>43620</v>
      </c>
      <c r="E122" s="3">
        <v>43635</v>
      </c>
      <c r="F122" s="3"/>
      <c r="G122">
        <v>1636</v>
      </c>
      <c r="H122">
        <v>1897.76</v>
      </c>
      <c r="I122" t="s">
        <v>11</v>
      </c>
    </row>
    <row r="123" spans="1:9" x14ac:dyDescent="0.2">
      <c r="A123" t="s">
        <v>20</v>
      </c>
      <c r="B123" t="s">
        <v>10</v>
      </c>
      <c r="C123" s="3">
        <v>43619</v>
      </c>
      <c r="D123" s="3">
        <v>43619</v>
      </c>
      <c r="E123" s="3">
        <v>43664</v>
      </c>
      <c r="F123" s="3"/>
      <c r="G123">
        <v>28670</v>
      </c>
      <c r="H123">
        <v>33257.199999999997</v>
      </c>
      <c r="I123" t="s">
        <v>11</v>
      </c>
    </row>
    <row r="124" spans="1:9" x14ac:dyDescent="0.2">
      <c r="A124" t="s">
        <v>26</v>
      </c>
      <c r="B124" t="s">
        <v>10</v>
      </c>
      <c r="C124" s="3">
        <v>43619</v>
      </c>
      <c r="D124" s="3">
        <v>43619</v>
      </c>
      <c r="E124" s="3">
        <v>43626</v>
      </c>
      <c r="F124" s="3"/>
      <c r="G124">
        <v>1244</v>
      </c>
      <c r="H124">
        <v>1443.04</v>
      </c>
      <c r="I124" t="s">
        <v>11</v>
      </c>
    </row>
    <row r="125" spans="1:9" x14ac:dyDescent="0.2">
      <c r="A125" t="s">
        <v>21</v>
      </c>
      <c r="B125" t="s">
        <v>10</v>
      </c>
      <c r="C125" s="3">
        <v>43616</v>
      </c>
      <c r="D125" s="3">
        <v>43616</v>
      </c>
      <c r="E125" s="3">
        <v>43623</v>
      </c>
      <c r="F125" s="3"/>
      <c r="G125">
        <v>3420</v>
      </c>
      <c r="H125">
        <v>3967.2</v>
      </c>
      <c r="I125" t="s">
        <v>11</v>
      </c>
    </row>
    <row r="126" spans="1:9" x14ac:dyDescent="0.2">
      <c r="A126" t="s">
        <v>18</v>
      </c>
      <c r="B126" t="s">
        <v>10</v>
      </c>
      <c r="C126" s="3">
        <v>43614</v>
      </c>
      <c r="D126" s="3">
        <v>43614</v>
      </c>
      <c r="E126" s="3">
        <v>43644</v>
      </c>
      <c r="F126" s="3"/>
      <c r="G126">
        <v>12232</v>
      </c>
      <c r="H126">
        <v>14189.1</v>
      </c>
      <c r="I126" t="s">
        <v>11</v>
      </c>
    </row>
    <row r="127" spans="1:9" x14ac:dyDescent="0.2">
      <c r="A127" t="s">
        <v>16</v>
      </c>
      <c r="B127" t="s">
        <v>10</v>
      </c>
      <c r="C127" s="3">
        <v>43614</v>
      </c>
      <c r="D127" s="3">
        <v>43614</v>
      </c>
      <c r="E127" s="3">
        <v>43629</v>
      </c>
      <c r="F127" s="3"/>
      <c r="G127">
        <v>98</v>
      </c>
      <c r="H127">
        <v>113.68</v>
      </c>
      <c r="I127" t="s">
        <v>11</v>
      </c>
    </row>
    <row r="128" spans="1:9" x14ac:dyDescent="0.2">
      <c r="A128" t="s">
        <v>32</v>
      </c>
      <c r="B128" t="s">
        <v>10</v>
      </c>
      <c r="C128" s="3">
        <v>43614</v>
      </c>
      <c r="D128" s="3">
        <v>43614</v>
      </c>
      <c r="E128" s="3">
        <v>43629</v>
      </c>
      <c r="F128" s="3"/>
      <c r="G128">
        <v>3657.6</v>
      </c>
      <c r="H128">
        <v>4242.82</v>
      </c>
      <c r="I128" t="s">
        <v>11</v>
      </c>
    </row>
    <row r="129" spans="1:9" x14ac:dyDescent="0.2">
      <c r="A129" t="s">
        <v>32</v>
      </c>
      <c r="B129" t="s">
        <v>10</v>
      </c>
      <c r="C129" s="3">
        <v>43614</v>
      </c>
      <c r="D129" s="3">
        <v>43614</v>
      </c>
      <c r="E129" s="3">
        <v>43629</v>
      </c>
      <c r="F129" s="3"/>
      <c r="G129">
        <v>37642.800000000003</v>
      </c>
      <c r="H129">
        <v>43665.599999999999</v>
      </c>
      <c r="I129" t="s">
        <v>11</v>
      </c>
    </row>
    <row r="130" spans="1:9" x14ac:dyDescent="0.2">
      <c r="A130" t="s">
        <v>16</v>
      </c>
      <c r="B130" t="s">
        <v>10</v>
      </c>
      <c r="C130" s="3">
        <v>43612</v>
      </c>
      <c r="D130" s="3">
        <v>43612</v>
      </c>
      <c r="E130" s="3">
        <v>43627</v>
      </c>
      <c r="F130" s="3"/>
      <c r="G130">
        <v>105384</v>
      </c>
      <c r="H130">
        <v>122245</v>
      </c>
      <c r="I130" t="s">
        <v>11</v>
      </c>
    </row>
    <row r="131" spans="1:9" x14ac:dyDescent="0.2">
      <c r="A131" t="s">
        <v>18</v>
      </c>
      <c r="B131" t="s">
        <v>10</v>
      </c>
      <c r="C131" s="3">
        <v>43612</v>
      </c>
      <c r="D131" s="3">
        <v>43612</v>
      </c>
      <c r="E131" s="3">
        <v>43642</v>
      </c>
      <c r="F131" s="3"/>
      <c r="G131">
        <v>900</v>
      </c>
      <c r="H131">
        <v>1044</v>
      </c>
      <c r="I131" t="s">
        <v>11</v>
      </c>
    </row>
    <row r="132" spans="1:9" x14ac:dyDescent="0.2">
      <c r="A132" t="s">
        <v>18</v>
      </c>
      <c r="B132" t="s">
        <v>10</v>
      </c>
      <c r="C132" s="3">
        <v>43609</v>
      </c>
      <c r="D132" s="3">
        <v>43609</v>
      </c>
      <c r="E132" s="3">
        <v>43639</v>
      </c>
      <c r="F132" s="3"/>
      <c r="G132">
        <v>10128</v>
      </c>
      <c r="H132">
        <v>11748.4</v>
      </c>
      <c r="I132" t="s">
        <v>11</v>
      </c>
    </row>
    <row r="133" spans="1:9" x14ac:dyDescent="0.2">
      <c r="A133" t="s">
        <v>18</v>
      </c>
      <c r="B133" t="s">
        <v>10</v>
      </c>
      <c r="C133" s="3">
        <v>43609</v>
      </c>
      <c r="D133" s="3">
        <v>43606</v>
      </c>
      <c r="E133" s="3">
        <v>43639</v>
      </c>
      <c r="F133" s="3"/>
      <c r="G133">
        <v>24027</v>
      </c>
      <c r="H133">
        <v>27871.3</v>
      </c>
      <c r="I133" t="s">
        <v>11</v>
      </c>
    </row>
    <row r="134" spans="1:9" x14ac:dyDescent="0.2">
      <c r="A134" t="s">
        <v>18</v>
      </c>
      <c r="B134" t="s">
        <v>10</v>
      </c>
      <c r="C134" s="3">
        <v>43609</v>
      </c>
      <c r="D134" s="3">
        <v>43609</v>
      </c>
      <c r="E134" s="3">
        <v>43639</v>
      </c>
      <c r="F134" s="3"/>
      <c r="G134">
        <v>23523</v>
      </c>
      <c r="H134">
        <v>27286.6</v>
      </c>
      <c r="I134" t="s">
        <v>11</v>
      </c>
    </row>
    <row r="135" spans="1:9" x14ac:dyDescent="0.2">
      <c r="A135" t="s">
        <v>32</v>
      </c>
      <c r="B135" t="s">
        <v>10</v>
      </c>
      <c r="C135" s="3">
        <v>43609</v>
      </c>
      <c r="D135" s="3">
        <v>43609</v>
      </c>
      <c r="E135" s="3">
        <v>43624</v>
      </c>
      <c r="F135" s="3"/>
      <c r="G135">
        <v>28963.4</v>
      </c>
      <c r="H135">
        <v>33597.599999999999</v>
      </c>
      <c r="I135" t="s">
        <v>11</v>
      </c>
    </row>
    <row r="136" spans="1:9" x14ac:dyDescent="0.2">
      <c r="A136" t="s">
        <v>19</v>
      </c>
      <c r="B136" t="s">
        <v>10</v>
      </c>
      <c r="C136" s="3">
        <v>43608</v>
      </c>
      <c r="D136" s="3">
        <v>43608</v>
      </c>
      <c r="E136" s="3">
        <v>43623</v>
      </c>
      <c r="F136" s="3"/>
      <c r="G136">
        <v>14740</v>
      </c>
      <c r="H136">
        <v>17098.400000000001</v>
      </c>
      <c r="I136" t="s">
        <v>11</v>
      </c>
    </row>
    <row r="137" spans="1:9" x14ac:dyDescent="0.2">
      <c r="A137" t="s">
        <v>32</v>
      </c>
      <c r="B137" t="s">
        <v>10</v>
      </c>
      <c r="C137" s="3">
        <v>43607</v>
      </c>
      <c r="D137" s="3">
        <v>43607</v>
      </c>
      <c r="E137" s="3">
        <v>43622</v>
      </c>
      <c r="F137" s="3"/>
      <c r="G137">
        <v>11625.8</v>
      </c>
      <c r="H137">
        <v>13485.9</v>
      </c>
      <c r="I137" t="s">
        <v>11</v>
      </c>
    </row>
    <row r="138" spans="1:9" x14ac:dyDescent="0.2">
      <c r="A138" t="s">
        <v>20</v>
      </c>
      <c r="B138" t="s">
        <v>10</v>
      </c>
      <c r="C138" s="3">
        <v>43606</v>
      </c>
      <c r="D138" s="3">
        <v>43606</v>
      </c>
      <c r="E138" s="3">
        <v>43651</v>
      </c>
      <c r="F138" s="3"/>
      <c r="G138">
        <v>32583</v>
      </c>
      <c r="H138">
        <v>37796.199999999997</v>
      </c>
      <c r="I138" t="s">
        <v>11</v>
      </c>
    </row>
    <row r="139" spans="1:9" x14ac:dyDescent="0.2">
      <c r="A139" t="s">
        <v>25</v>
      </c>
      <c r="B139" t="s">
        <v>10</v>
      </c>
      <c r="C139" s="3">
        <v>43606</v>
      </c>
      <c r="D139" s="3">
        <v>43606</v>
      </c>
      <c r="E139" s="3">
        <v>43636</v>
      </c>
      <c r="F139" s="3"/>
      <c r="G139">
        <v>1978.8</v>
      </c>
      <c r="H139">
        <v>2295.41</v>
      </c>
      <c r="I139" t="s">
        <v>11</v>
      </c>
    </row>
    <row r="140" spans="1:9" x14ac:dyDescent="0.2">
      <c r="A140" t="s">
        <v>32</v>
      </c>
      <c r="B140" t="s">
        <v>10</v>
      </c>
      <c r="C140" s="3">
        <v>43602</v>
      </c>
      <c r="D140" s="3">
        <v>43602</v>
      </c>
      <c r="E140" s="3">
        <v>43617</v>
      </c>
      <c r="F140" s="3"/>
      <c r="G140">
        <v>28087.200000000001</v>
      </c>
      <c r="H140">
        <v>32581.200000000001</v>
      </c>
      <c r="I140" t="s">
        <v>11</v>
      </c>
    </row>
    <row r="141" spans="1:9" x14ac:dyDescent="0.2">
      <c r="A141" t="s">
        <v>32</v>
      </c>
      <c r="B141" t="s">
        <v>10</v>
      </c>
      <c r="C141" s="3">
        <v>43602</v>
      </c>
      <c r="D141" s="3">
        <v>43602</v>
      </c>
      <c r="E141" s="3">
        <v>43617</v>
      </c>
      <c r="F141" s="3"/>
      <c r="G141">
        <v>4665.28</v>
      </c>
      <c r="H141">
        <v>5411.72</v>
      </c>
      <c r="I141" t="s">
        <v>11</v>
      </c>
    </row>
    <row r="142" spans="1:9" x14ac:dyDescent="0.2">
      <c r="A142" t="s">
        <v>12</v>
      </c>
      <c r="B142" t="s">
        <v>10</v>
      </c>
      <c r="C142" s="3">
        <v>43600</v>
      </c>
      <c r="D142" s="3">
        <v>43600</v>
      </c>
      <c r="E142" s="3">
        <v>43630</v>
      </c>
      <c r="F142" s="3"/>
      <c r="G142">
        <v>99927</v>
      </c>
      <c r="H142">
        <v>99927</v>
      </c>
      <c r="I142" t="s">
        <v>11</v>
      </c>
    </row>
    <row r="143" spans="1:9" x14ac:dyDescent="0.2">
      <c r="A143" t="s">
        <v>32</v>
      </c>
      <c r="B143" t="s">
        <v>10</v>
      </c>
      <c r="C143" s="3">
        <v>43600</v>
      </c>
      <c r="D143" s="3">
        <v>43600</v>
      </c>
      <c r="E143" s="3">
        <v>43615</v>
      </c>
      <c r="F143" s="3"/>
      <c r="G143">
        <v>33908.699999999997</v>
      </c>
      <c r="H143">
        <v>39334.1</v>
      </c>
      <c r="I143" t="s">
        <v>11</v>
      </c>
    </row>
    <row r="144" spans="1:9" x14ac:dyDescent="0.2">
      <c r="A144" t="s">
        <v>33</v>
      </c>
      <c r="B144" t="s">
        <v>10</v>
      </c>
      <c r="C144" s="3">
        <v>43600</v>
      </c>
      <c r="D144" s="3">
        <v>43600</v>
      </c>
      <c r="E144" s="3">
        <v>43600</v>
      </c>
      <c r="F144" s="3"/>
      <c r="G144">
        <v>146.52000000000001</v>
      </c>
      <c r="H144">
        <v>169.96</v>
      </c>
      <c r="I144" t="s">
        <v>11</v>
      </c>
    </row>
    <row r="145" spans="1:9" x14ac:dyDescent="0.2">
      <c r="A145" t="s">
        <v>32</v>
      </c>
      <c r="B145" t="s">
        <v>10</v>
      </c>
      <c r="C145" s="3">
        <v>43600</v>
      </c>
      <c r="D145" s="3">
        <v>43600</v>
      </c>
      <c r="E145" s="3">
        <v>43615</v>
      </c>
      <c r="F145" s="3"/>
      <c r="G145">
        <v>10017.1</v>
      </c>
      <c r="H145">
        <v>11619.9</v>
      </c>
      <c r="I145" t="s">
        <v>11</v>
      </c>
    </row>
    <row r="146" spans="1:9" x14ac:dyDescent="0.2">
      <c r="A146" t="s">
        <v>33</v>
      </c>
      <c r="B146" t="s">
        <v>10</v>
      </c>
      <c r="C146" s="3">
        <v>43599</v>
      </c>
      <c r="D146" s="3">
        <v>43599</v>
      </c>
      <c r="E146" s="3">
        <v>43599</v>
      </c>
      <c r="F146" s="3"/>
      <c r="G146">
        <v>5850</v>
      </c>
      <c r="H146">
        <v>6786</v>
      </c>
      <c r="I146" t="s">
        <v>11</v>
      </c>
    </row>
    <row r="147" spans="1:9" x14ac:dyDescent="0.2">
      <c r="A147" t="s">
        <v>18</v>
      </c>
      <c r="B147" t="s">
        <v>10</v>
      </c>
      <c r="C147" s="3">
        <v>43599</v>
      </c>
      <c r="D147" s="3">
        <v>43599</v>
      </c>
      <c r="E147" s="3">
        <v>43629</v>
      </c>
      <c r="F147" s="3"/>
      <c r="G147">
        <v>14740</v>
      </c>
      <c r="H147">
        <v>17098.400000000001</v>
      </c>
      <c r="I147" t="s">
        <v>11</v>
      </c>
    </row>
    <row r="148" spans="1:9" x14ac:dyDescent="0.2">
      <c r="A148" t="s">
        <v>19</v>
      </c>
      <c r="B148" t="s">
        <v>10</v>
      </c>
      <c r="C148" s="3">
        <v>43599</v>
      </c>
      <c r="D148" s="3">
        <v>43599</v>
      </c>
      <c r="E148" s="3">
        <v>43614</v>
      </c>
      <c r="F148" s="3"/>
      <c r="G148">
        <v>6161</v>
      </c>
      <c r="H148">
        <v>7146.76</v>
      </c>
      <c r="I148" t="s">
        <v>11</v>
      </c>
    </row>
    <row r="149" spans="1:9" x14ac:dyDescent="0.2">
      <c r="A149" t="s">
        <v>19</v>
      </c>
      <c r="B149" t="s">
        <v>10</v>
      </c>
      <c r="C149" s="3">
        <v>43599</v>
      </c>
      <c r="D149" s="3">
        <v>43599</v>
      </c>
      <c r="E149" s="3">
        <v>43614</v>
      </c>
      <c r="F149" s="3"/>
      <c r="G149">
        <v>6161</v>
      </c>
      <c r="H149">
        <v>7146.76</v>
      </c>
      <c r="I149" t="s">
        <v>11</v>
      </c>
    </row>
    <row r="150" spans="1:9" x14ac:dyDescent="0.2">
      <c r="A150" t="s">
        <v>19</v>
      </c>
      <c r="B150" t="s">
        <v>10</v>
      </c>
      <c r="C150" s="3">
        <v>43599</v>
      </c>
      <c r="D150" s="3">
        <v>43599</v>
      </c>
      <c r="E150" s="3">
        <v>43614</v>
      </c>
      <c r="F150" s="3"/>
      <c r="G150">
        <v>6206</v>
      </c>
      <c r="H150">
        <v>7198.96</v>
      </c>
      <c r="I150" t="s">
        <v>11</v>
      </c>
    </row>
    <row r="151" spans="1:9" x14ac:dyDescent="0.2">
      <c r="A151" t="s">
        <v>19</v>
      </c>
      <c r="B151" t="s">
        <v>10</v>
      </c>
      <c r="C151" s="3">
        <v>43599</v>
      </c>
      <c r="D151" s="3">
        <v>43599</v>
      </c>
      <c r="E151" s="3">
        <v>43614</v>
      </c>
      <c r="F151" s="3"/>
      <c r="G151">
        <v>8237</v>
      </c>
      <c r="H151">
        <v>9554.92</v>
      </c>
      <c r="I151" t="s">
        <v>11</v>
      </c>
    </row>
    <row r="152" spans="1:9" x14ac:dyDescent="0.2">
      <c r="A152" t="s">
        <v>19</v>
      </c>
      <c r="B152" t="s">
        <v>10</v>
      </c>
      <c r="C152" s="3">
        <v>43599</v>
      </c>
      <c r="D152" s="3">
        <v>43599</v>
      </c>
      <c r="E152" s="3">
        <v>43614</v>
      </c>
      <c r="F152" s="3"/>
      <c r="G152">
        <v>14546</v>
      </c>
      <c r="H152">
        <v>16873.3</v>
      </c>
      <c r="I152" t="s">
        <v>11</v>
      </c>
    </row>
    <row r="153" spans="1:9" x14ac:dyDescent="0.2">
      <c r="A153" t="s">
        <v>19</v>
      </c>
      <c r="B153" t="s">
        <v>10</v>
      </c>
      <c r="C153" s="3">
        <v>43599</v>
      </c>
      <c r="D153" s="3">
        <v>43599</v>
      </c>
      <c r="E153" s="3">
        <v>43614</v>
      </c>
      <c r="F153" s="3"/>
      <c r="G153">
        <v>6161</v>
      </c>
      <c r="H153">
        <v>7146.76</v>
      </c>
      <c r="I153" t="s">
        <v>11</v>
      </c>
    </row>
    <row r="154" spans="1:9" x14ac:dyDescent="0.2">
      <c r="A154" t="s">
        <v>19</v>
      </c>
      <c r="B154" t="s">
        <v>10</v>
      </c>
      <c r="C154" s="3">
        <v>43599</v>
      </c>
      <c r="D154" s="3">
        <v>43563</v>
      </c>
      <c r="E154" s="3">
        <v>43614</v>
      </c>
      <c r="F154" s="3"/>
      <c r="G154">
        <v>48578</v>
      </c>
      <c r="H154">
        <v>56350.400000000001</v>
      </c>
      <c r="I154" t="s">
        <v>11</v>
      </c>
    </row>
    <row r="155" spans="1:9" x14ac:dyDescent="0.2">
      <c r="A155" t="s">
        <v>19</v>
      </c>
      <c r="B155" t="s">
        <v>10</v>
      </c>
      <c r="C155" s="3">
        <v>43599</v>
      </c>
      <c r="D155" s="3">
        <v>43599</v>
      </c>
      <c r="E155" s="3">
        <v>43614</v>
      </c>
      <c r="F155" s="3"/>
      <c r="G155">
        <v>7481</v>
      </c>
      <c r="H155">
        <v>8677.9599999999991</v>
      </c>
      <c r="I155" t="s">
        <v>11</v>
      </c>
    </row>
    <row r="156" spans="1:9" x14ac:dyDescent="0.2">
      <c r="A156" t="s">
        <v>19</v>
      </c>
      <c r="B156" t="s">
        <v>10</v>
      </c>
      <c r="C156" s="3">
        <v>43599</v>
      </c>
      <c r="D156" s="3">
        <v>43578</v>
      </c>
      <c r="E156" s="3">
        <v>43614</v>
      </c>
      <c r="F156" s="3"/>
      <c r="G156">
        <v>13744</v>
      </c>
      <c r="H156">
        <v>15943</v>
      </c>
      <c r="I156" t="s">
        <v>11</v>
      </c>
    </row>
    <row r="157" spans="1:9" x14ac:dyDescent="0.2">
      <c r="A157" t="s">
        <v>19</v>
      </c>
      <c r="B157" t="s">
        <v>10</v>
      </c>
      <c r="C157" s="3">
        <v>43599</v>
      </c>
      <c r="D157" s="3">
        <v>43578</v>
      </c>
      <c r="E157" s="3">
        <v>43614</v>
      </c>
      <c r="F157" s="3"/>
      <c r="G157">
        <v>14344</v>
      </c>
      <c r="H157">
        <v>16639</v>
      </c>
      <c r="I157" t="s">
        <v>11</v>
      </c>
    </row>
    <row r="158" spans="1:9" x14ac:dyDescent="0.2">
      <c r="A158" t="s">
        <v>19</v>
      </c>
      <c r="B158" t="s">
        <v>10</v>
      </c>
      <c r="C158" s="3">
        <v>43599</v>
      </c>
      <c r="D158" s="3">
        <v>43580</v>
      </c>
      <c r="E158" s="3">
        <v>43614</v>
      </c>
      <c r="F158" s="3"/>
      <c r="G158">
        <v>14834</v>
      </c>
      <c r="H158">
        <v>17207.400000000001</v>
      </c>
      <c r="I158" t="s">
        <v>11</v>
      </c>
    </row>
    <row r="159" spans="1:9" x14ac:dyDescent="0.2">
      <c r="A159" t="s">
        <v>19</v>
      </c>
      <c r="B159" t="s">
        <v>10</v>
      </c>
      <c r="C159" s="3">
        <v>43599</v>
      </c>
      <c r="D159" s="3">
        <v>43580</v>
      </c>
      <c r="E159" s="3">
        <v>43614</v>
      </c>
      <c r="F159" s="3"/>
      <c r="G159">
        <v>14139</v>
      </c>
      <c r="H159">
        <v>16401.2</v>
      </c>
      <c r="I159" t="s">
        <v>11</v>
      </c>
    </row>
    <row r="160" spans="1:9" x14ac:dyDescent="0.2">
      <c r="A160" t="s">
        <v>18</v>
      </c>
      <c r="B160" t="s">
        <v>10</v>
      </c>
      <c r="C160" s="3">
        <v>43599</v>
      </c>
      <c r="D160" s="3">
        <v>43598</v>
      </c>
      <c r="E160" s="3">
        <v>43629</v>
      </c>
      <c r="F160" s="3"/>
      <c r="G160">
        <v>22338</v>
      </c>
      <c r="H160">
        <v>25912</v>
      </c>
      <c r="I160" t="s">
        <v>11</v>
      </c>
    </row>
    <row r="161" spans="1:9" x14ac:dyDescent="0.2">
      <c r="A161" t="s">
        <v>18</v>
      </c>
      <c r="B161" t="s">
        <v>10</v>
      </c>
      <c r="C161" s="3">
        <v>43599</v>
      </c>
      <c r="D161" s="3">
        <v>43598</v>
      </c>
      <c r="E161" s="3">
        <v>43629</v>
      </c>
      <c r="F161" s="3"/>
      <c r="G161">
        <v>29885</v>
      </c>
      <c r="H161">
        <v>34666.6</v>
      </c>
      <c r="I161" t="s">
        <v>11</v>
      </c>
    </row>
    <row r="162" spans="1:9" x14ac:dyDescent="0.2">
      <c r="A162" t="s">
        <v>32</v>
      </c>
      <c r="B162" t="s">
        <v>10</v>
      </c>
      <c r="C162" s="3">
        <v>43599</v>
      </c>
      <c r="D162" s="3">
        <v>43599</v>
      </c>
      <c r="E162" s="3">
        <v>43614</v>
      </c>
      <c r="F162" s="3"/>
      <c r="G162">
        <v>21015.7</v>
      </c>
      <c r="H162">
        <v>24378.2</v>
      </c>
      <c r="I162" t="s">
        <v>11</v>
      </c>
    </row>
    <row r="163" spans="1:9" x14ac:dyDescent="0.2">
      <c r="A163" t="s">
        <v>34</v>
      </c>
      <c r="B163" t="s">
        <v>10</v>
      </c>
      <c r="C163" s="3">
        <v>43598</v>
      </c>
      <c r="D163" s="3">
        <v>43566</v>
      </c>
      <c r="E163" s="3">
        <v>43598</v>
      </c>
      <c r="F163" s="3"/>
      <c r="G163">
        <v>5079.4399999999996</v>
      </c>
      <c r="H163">
        <v>5892.15</v>
      </c>
      <c r="I163" t="s">
        <v>11</v>
      </c>
    </row>
    <row r="164" spans="1:9" x14ac:dyDescent="0.2">
      <c r="A164" t="s">
        <v>16</v>
      </c>
      <c r="B164" t="s">
        <v>10</v>
      </c>
      <c r="C164" s="3">
        <v>43598</v>
      </c>
      <c r="D164" s="3">
        <v>43598</v>
      </c>
      <c r="E164" s="3">
        <v>43613</v>
      </c>
      <c r="F164" s="3"/>
      <c r="G164">
        <v>17000</v>
      </c>
      <c r="H164">
        <v>19720</v>
      </c>
      <c r="I164" t="s">
        <v>11</v>
      </c>
    </row>
    <row r="165" spans="1:9" x14ac:dyDescent="0.2">
      <c r="A165" t="s">
        <v>19</v>
      </c>
      <c r="B165" t="s">
        <v>10</v>
      </c>
      <c r="C165" s="3">
        <v>43595</v>
      </c>
      <c r="D165" s="3">
        <v>43595</v>
      </c>
      <c r="E165" s="3">
        <v>43610</v>
      </c>
      <c r="F165" s="3"/>
      <c r="G165">
        <v>6722</v>
      </c>
      <c r="H165">
        <v>7797.52</v>
      </c>
      <c r="I165" t="s">
        <v>11</v>
      </c>
    </row>
    <row r="166" spans="1:9" x14ac:dyDescent="0.2">
      <c r="A166" t="s">
        <v>19</v>
      </c>
      <c r="B166" t="s">
        <v>10</v>
      </c>
      <c r="C166" s="3">
        <v>43595</v>
      </c>
      <c r="D166" s="3">
        <v>43585</v>
      </c>
      <c r="E166" s="3">
        <v>43610</v>
      </c>
      <c r="F166" s="3"/>
      <c r="G166">
        <v>7535</v>
      </c>
      <c r="H166">
        <v>8740.6</v>
      </c>
      <c r="I166" t="s">
        <v>11</v>
      </c>
    </row>
    <row r="167" spans="1:9" x14ac:dyDescent="0.2">
      <c r="A167" t="s">
        <v>19</v>
      </c>
      <c r="B167" t="s">
        <v>10</v>
      </c>
      <c r="C167" s="3">
        <v>43595</v>
      </c>
      <c r="D167" s="3">
        <v>43585</v>
      </c>
      <c r="E167" s="3">
        <v>43610</v>
      </c>
      <c r="F167" s="3"/>
      <c r="G167">
        <v>7481</v>
      </c>
      <c r="H167">
        <v>8677.9599999999991</v>
      </c>
      <c r="I167" t="s">
        <v>11</v>
      </c>
    </row>
    <row r="168" spans="1:9" x14ac:dyDescent="0.2">
      <c r="A168" t="s">
        <v>19</v>
      </c>
      <c r="B168" t="s">
        <v>10</v>
      </c>
      <c r="C168" s="3">
        <v>43595</v>
      </c>
      <c r="D168" s="3">
        <v>43585</v>
      </c>
      <c r="E168" s="3">
        <v>43610</v>
      </c>
      <c r="F168" s="3"/>
      <c r="G168">
        <v>5750</v>
      </c>
      <c r="H168">
        <v>6670</v>
      </c>
      <c r="I168" t="s">
        <v>11</v>
      </c>
    </row>
    <row r="169" spans="1:9" x14ac:dyDescent="0.2">
      <c r="A169" t="s">
        <v>19</v>
      </c>
      <c r="B169" t="s">
        <v>10</v>
      </c>
      <c r="C169" s="3">
        <v>43595</v>
      </c>
      <c r="D169" s="3">
        <v>43585</v>
      </c>
      <c r="E169" s="3">
        <v>43610</v>
      </c>
      <c r="F169" s="3"/>
      <c r="G169">
        <v>7131</v>
      </c>
      <c r="H169">
        <v>8271.9599999999991</v>
      </c>
      <c r="I169" t="s">
        <v>11</v>
      </c>
    </row>
    <row r="170" spans="1:9" x14ac:dyDescent="0.2">
      <c r="A170" t="s">
        <v>19</v>
      </c>
      <c r="B170" t="s">
        <v>10</v>
      </c>
      <c r="C170" s="3">
        <v>43595</v>
      </c>
      <c r="D170" s="3">
        <v>43580</v>
      </c>
      <c r="E170" s="3">
        <v>43610</v>
      </c>
      <c r="F170" s="3"/>
      <c r="G170">
        <v>13382</v>
      </c>
      <c r="H170">
        <v>15523.1</v>
      </c>
      <c r="I170" t="s">
        <v>11</v>
      </c>
    </row>
    <row r="171" spans="1:9" x14ac:dyDescent="0.2">
      <c r="A171" t="s">
        <v>19</v>
      </c>
      <c r="B171" t="s">
        <v>10</v>
      </c>
      <c r="C171" s="3">
        <v>43595</v>
      </c>
      <c r="D171" s="3">
        <v>43580</v>
      </c>
      <c r="E171" s="3">
        <v>43610</v>
      </c>
      <c r="F171" s="3"/>
      <c r="G171">
        <v>7499</v>
      </c>
      <c r="H171">
        <v>8698.84</v>
      </c>
      <c r="I171" t="s">
        <v>11</v>
      </c>
    </row>
    <row r="172" spans="1:9" x14ac:dyDescent="0.2">
      <c r="A172" t="s">
        <v>19</v>
      </c>
      <c r="B172" t="s">
        <v>10</v>
      </c>
      <c r="C172" s="3">
        <v>43595</v>
      </c>
      <c r="D172" s="3">
        <v>43580</v>
      </c>
      <c r="E172" s="3">
        <v>43610</v>
      </c>
      <c r="F172" s="3"/>
      <c r="G172">
        <v>13410</v>
      </c>
      <c r="H172">
        <v>15555.6</v>
      </c>
      <c r="I172" t="s">
        <v>11</v>
      </c>
    </row>
    <row r="173" spans="1:9" x14ac:dyDescent="0.2">
      <c r="A173" t="s">
        <v>19</v>
      </c>
      <c r="B173" t="s">
        <v>10</v>
      </c>
      <c r="C173" s="3">
        <v>43595</v>
      </c>
      <c r="D173" s="3">
        <v>43580</v>
      </c>
      <c r="E173" s="3">
        <v>43610</v>
      </c>
      <c r="F173" s="3"/>
      <c r="G173">
        <v>7999</v>
      </c>
      <c r="H173">
        <v>9278.84</v>
      </c>
      <c r="I173" t="s">
        <v>11</v>
      </c>
    </row>
    <row r="174" spans="1:9" x14ac:dyDescent="0.2">
      <c r="A174" t="s">
        <v>19</v>
      </c>
      <c r="B174" t="s">
        <v>10</v>
      </c>
      <c r="C174" s="3">
        <v>43595</v>
      </c>
      <c r="D174" s="3">
        <v>43578</v>
      </c>
      <c r="E174" s="3">
        <v>43610</v>
      </c>
      <c r="F174" s="3"/>
      <c r="G174">
        <v>6161</v>
      </c>
      <c r="H174">
        <v>7146.76</v>
      </c>
      <c r="I174" t="s">
        <v>11</v>
      </c>
    </row>
    <row r="175" spans="1:9" x14ac:dyDescent="0.2">
      <c r="A175" t="s">
        <v>19</v>
      </c>
      <c r="B175" t="s">
        <v>10</v>
      </c>
      <c r="C175" s="3">
        <v>43595</v>
      </c>
      <c r="D175" s="3">
        <v>43578</v>
      </c>
      <c r="E175" s="3">
        <v>43610</v>
      </c>
      <c r="F175" s="3"/>
      <c r="G175">
        <v>7559</v>
      </c>
      <c r="H175">
        <v>8768.44</v>
      </c>
      <c r="I175" t="s">
        <v>11</v>
      </c>
    </row>
    <row r="176" spans="1:9" x14ac:dyDescent="0.2">
      <c r="A176" t="s">
        <v>19</v>
      </c>
      <c r="B176" t="s">
        <v>10</v>
      </c>
      <c r="C176" s="3">
        <v>43595</v>
      </c>
      <c r="D176" s="3">
        <v>43563</v>
      </c>
      <c r="E176" s="3">
        <v>43610</v>
      </c>
      <c r="F176" s="3"/>
      <c r="G176">
        <v>7195</v>
      </c>
      <c r="H176">
        <v>8346.2000000000007</v>
      </c>
      <c r="I176" t="s">
        <v>11</v>
      </c>
    </row>
    <row r="177" spans="1:9" x14ac:dyDescent="0.2">
      <c r="A177" t="s">
        <v>19</v>
      </c>
      <c r="B177" t="s">
        <v>10</v>
      </c>
      <c r="C177" s="3">
        <v>43595</v>
      </c>
      <c r="D177" s="3">
        <v>43563</v>
      </c>
      <c r="E177" s="3">
        <v>43610</v>
      </c>
      <c r="F177" s="3"/>
      <c r="G177">
        <v>6161</v>
      </c>
      <c r="H177">
        <v>7146.76</v>
      </c>
      <c r="I177" t="s">
        <v>11</v>
      </c>
    </row>
    <row r="178" spans="1:9" x14ac:dyDescent="0.2">
      <c r="A178" t="s">
        <v>19</v>
      </c>
      <c r="B178" t="s">
        <v>10</v>
      </c>
      <c r="C178" s="3">
        <v>43595</v>
      </c>
      <c r="D178" s="3">
        <v>43557</v>
      </c>
      <c r="E178" s="3">
        <v>43610</v>
      </c>
      <c r="F178" s="3"/>
      <c r="G178">
        <v>14184</v>
      </c>
      <c r="H178">
        <v>16453.400000000001</v>
      </c>
      <c r="I178" t="s">
        <v>11</v>
      </c>
    </row>
    <row r="179" spans="1:9" x14ac:dyDescent="0.2">
      <c r="A179" t="s">
        <v>19</v>
      </c>
      <c r="B179" t="s">
        <v>10</v>
      </c>
      <c r="C179" s="3">
        <v>43595</v>
      </c>
      <c r="D179" s="3">
        <v>43557</v>
      </c>
      <c r="E179" s="3">
        <v>43610</v>
      </c>
      <c r="F179" s="3"/>
      <c r="G179">
        <v>20441</v>
      </c>
      <c r="H179">
        <v>23711.5</v>
      </c>
      <c r="I179" t="s">
        <v>11</v>
      </c>
    </row>
    <row r="180" spans="1:9" x14ac:dyDescent="0.2">
      <c r="A180" t="s">
        <v>19</v>
      </c>
      <c r="B180" t="s">
        <v>10</v>
      </c>
      <c r="C180" s="3">
        <v>43595</v>
      </c>
      <c r="D180" s="3" t="s">
        <v>35</v>
      </c>
      <c r="E180" s="3">
        <v>43610</v>
      </c>
      <c r="F180" s="3"/>
      <c r="G180">
        <v>7586</v>
      </c>
      <c r="H180">
        <v>8799.76</v>
      </c>
      <c r="I180" t="s">
        <v>11</v>
      </c>
    </row>
    <row r="181" spans="1:9" x14ac:dyDescent="0.2">
      <c r="A181" t="s">
        <v>19</v>
      </c>
      <c r="B181" t="s">
        <v>10</v>
      </c>
      <c r="C181" s="3">
        <v>43595</v>
      </c>
      <c r="D181" s="3">
        <v>43546</v>
      </c>
      <c r="E181" s="3">
        <v>43610</v>
      </c>
      <c r="F181" s="3"/>
      <c r="G181">
        <v>40432</v>
      </c>
      <c r="H181">
        <v>46901.1</v>
      </c>
      <c r="I181" t="s">
        <v>11</v>
      </c>
    </row>
    <row r="182" spans="1:9" x14ac:dyDescent="0.2">
      <c r="A182" t="s">
        <v>19</v>
      </c>
      <c r="B182" t="s">
        <v>10</v>
      </c>
      <c r="C182" s="3">
        <v>43595</v>
      </c>
      <c r="D182" s="3">
        <v>43544</v>
      </c>
      <c r="E182" s="3">
        <v>43610</v>
      </c>
      <c r="F182" s="3"/>
      <c r="G182">
        <v>15139</v>
      </c>
      <c r="H182">
        <v>17561.2</v>
      </c>
      <c r="I182" t="s">
        <v>11</v>
      </c>
    </row>
    <row r="183" spans="1:9" x14ac:dyDescent="0.2">
      <c r="A183" t="s">
        <v>32</v>
      </c>
      <c r="B183" t="s">
        <v>10</v>
      </c>
      <c r="C183" s="3">
        <v>43595</v>
      </c>
      <c r="D183" s="3">
        <v>43595</v>
      </c>
      <c r="E183" s="3">
        <v>43610</v>
      </c>
      <c r="F183" s="3"/>
      <c r="G183">
        <v>15550.2</v>
      </c>
      <c r="H183">
        <v>18038.2</v>
      </c>
      <c r="I183" t="s">
        <v>11</v>
      </c>
    </row>
    <row r="184" spans="1:9" x14ac:dyDescent="0.2">
      <c r="A184" t="s">
        <v>24</v>
      </c>
      <c r="B184" t="s">
        <v>10</v>
      </c>
      <c r="C184" s="3">
        <v>43595</v>
      </c>
      <c r="D184" s="3">
        <v>43595</v>
      </c>
      <c r="E184" s="3">
        <v>43595</v>
      </c>
      <c r="F184" s="3"/>
      <c r="G184">
        <v>500</v>
      </c>
      <c r="H184">
        <v>580</v>
      </c>
      <c r="I184" t="s">
        <v>11</v>
      </c>
    </row>
    <row r="185" spans="1:9" x14ac:dyDescent="0.2">
      <c r="A185" t="s">
        <v>18</v>
      </c>
      <c r="B185" t="s">
        <v>10</v>
      </c>
      <c r="C185" s="3">
        <v>43594</v>
      </c>
      <c r="D185" s="3">
        <v>43592</v>
      </c>
      <c r="E185" s="3">
        <v>43624</v>
      </c>
      <c r="F185" s="3"/>
      <c r="G185">
        <v>31729</v>
      </c>
      <c r="H185">
        <v>36805.599999999999</v>
      </c>
      <c r="I185" t="s">
        <v>11</v>
      </c>
    </row>
    <row r="186" spans="1:9" x14ac:dyDescent="0.2">
      <c r="A186" t="s">
        <v>18</v>
      </c>
      <c r="B186" t="s">
        <v>10</v>
      </c>
      <c r="C186" s="3">
        <v>43594</v>
      </c>
      <c r="D186" s="3">
        <v>43588</v>
      </c>
      <c r="E186" s="3">
        <v>43624</v>
      </c>
      <c r="F186" s="3"/>
      <c r="G186">
        <v>13911</v>
      </c>
      <c r="H186">
        <v>16136.7</v>
      </c>
      <c r="I186" t="s">
        <v>11</v>
      </c>
    </row>
    <row r="187" spans="1:9" x14ac:dyDescent="0.2">
      <c r="A187" t="s">
        <v>18</v>
      </c>
      <c r="B187" t="s">
        <v>10</v>
      </c>
      <c r="C187" s="3">
        <v>43594</v>
      </c>
      <c r="D187" s="3">
        <v>43587</v>
      </c>
      <c r="E187" s="3">
        <v>43624</v>
      </c>
      <c r="F187" s="3"/>
      <c r="G187">
        <v>20754</v>
      </c>
      <c r="H187">
        <v>24074.6</v>
      </c>
      <c r="I187" t="s">
        <v>11</v>
      </c>
    </row>
    <row r="188" spans="1:9" x14ac:dyDescent="0.2">
      <c r="A188" t="s">
        <v>18</v>
      </c>
      <c r="B188" t="s">
        <v>10</v>
      </c>
      <c r="C188" s="3">
        <v>43594</v>
      </c>
      <c r="D188" s="3">
        <v>43585</v>
      </c>
      <c r="E188" s="3">
        <v>43624</v>
      </c>
      <c r="F188" s="3"/>
      <c r="G188">
        <v>14428</v>
      </c>
      <c r="H188">
        <v>16736.400000000001</v>
      </c>
      <c r="I188" t="s">
        <v>11</v>
      </c>
    </row>
    <row r="189" spans="1:9" x14ac:dyDescent="0.2">
      <c r="A189" t="s">
        <v>18</v>
      </c>
      <c r="B189" t="s">
        <v>10</v>
      </c>
      <c r="C189" s="3">
        <v>43594</v>
      </c>
      <c r="D189" s="3">
        <v>43585</v>
      </c>
      <c r="E189" s="3">
        <v>43624</v>
      </c>
      <c r="F189" s="3"/>
      <c r="G189">
        <v>29367</v>
      </c>
      <c r="H189">
        <v>34065.699999999997</v>
      </c>
      <c r="I189" t="s">
        <v>11</v>
      </c>
    </row>
    <row r="190" spans="1:9" x14ac:dyDescent="0.2">
      <c r="A190" t="s">
        <v>18</v>
      </c>
      <c r="B190" t="s">
        <v>10</v>
      </c>
      <c r="C190" s="3">
        <v>43594</v>
      </c>
      <c r="D190" s="3">
        <v>43585</v>
      </c>
      <c r="E190" s="3">
        <v>43624</v>
      </c>
      <c r="F190" s="3"/>
      <c r="G190">
        <v>14932</v>
      </c>
      <c r="H190">
        <v>17321.099999999999</v>
      </c>
      <c r="I190" t="s">
        <v>11</v>
      </c>
    </row>
    <row r="191" spans="1:9" x14ac:dyDescent="0.2">
      <c r="A191" t="s">
        <v>18</v>
      </c>
      <c r="B191" t="s">
        <v>10</v>
      </c>
      <c r="C191" s="3">
        <v>43594</v>
      </c>
      <c r="D191" s="3">
        <v>43580</v>
      </c>
      <c r="E191" s="3">
        <v>43624</v>
      </c>
      <c r="F191" s="3"/>
      <c r="G191">
        <v>14892</v>
      </c>
      <c r="H191">
        <v>17274.7</v>
      </c>
      <c r="I191" t="s">
        <v>11</v>
      </c>
    </row>
    <row r="192" spans="1:9" x14ac:dyDescent="0.2">
      <c r="A192" t="s">
        <v>19</v>
      </c>
      <c r="B192" t="s">
        <v>10</v>
      </c>
      <c r="C192" s="3">
        <v>43594</v>
      </c>
      <c r="D192" s="3">
        <v>43592</v>
      </c>
      <c r="E192" s="3">
        <v>43609</v>
      </c>
      <c r="F192" s="3"/>
      <c r="G192">
        <v>13616</v>
      </c>
      <c r="H192">
        <v>15794.5</v>
      </c>
      <c r="I192" t="s">
        <v>11</v>
      </c>
    </row>
    <row r="193" spans="1:9" x14ac:dyDescent="0.2">
      <c r="A193" t="s">
        <v>19</v>
      </c>
      <c r="B193" t="s">
        <v>10</v>
      </c>
      <c r="C193" s="3">
        <v>43594</v>
      </c>
      <c r="D193" s="3">
        <v>43592</v>
      </c>
      <c r="E193" s="3">
        <v>43609</v>
      </c>
      <c r="F193" s="3"/>
      <c r="G193">
        <v>14151</v>
      </c>
      <c r="H193">
        <v>16415.099999999999</v>
      </c>
      <c r="I193" t="s">
        <v>11</v>
      </c>
    </row>
    <row r="194" spans="1:9" x14ac:dyDescent="0.2">
      <c r="A194" t="s">
        <v>19</v>
      </c>
      <c r="B194" t="s">
        <v>10</v>
      </c>
      <c r="C194" s="3">
        <v>43594</v>
      </c>
      <c r="D194" s="3">
        <v>43594</v>
      </c>
      <c r="E194" s="3">
        <v>43609</v>
      </c>
      <c r="F194" s="3"/>
      <c r="G194">
        <v>13687</v>
      </c>
      <c r="H194">
        <v>15876.9</v>
      </c>
      <c r="I194" t="s">
        <v>11</v>
      </c>
    </row>
    <row r="195" spans="1:9" x14ac:dyDescent="0.2">
      <c r="A195" t="s">
        <v>19</v>
      </c>
      <c r="B195" t="s">
        <v>10</v>
      </c>
      <c r="C195" s="3">
        <v>43594</v>
      </c>
      <c r="D195" s="3">
        <v>43588</v>
      </c>
      <c r="E195" s="3">
        <v>43609</v>
      </c>
      <c r="F195" s="3"/>
      <c r="G195">
        <v>8026</v>
      </c>
      <c r="H195">
        <v>9310.16</v>
      </c>
      <c r="I195" t="s">
        <v>11</v>
      </c>
    </row>
    <row r="196" spans="1:9" x14ac:dyDescent="0.2">
      <c r="A196" t="s">
        <v>19</v>
      </c>
      <c r="B196" t="s">
        <v>10</v>
      </c>
      <c r="C196" s="3">
        <v>43594</v>
      </c>
      <c r="D196" s="3">
        <v>43594</v>
      </c>
      <c r="E196" s="3">
        <v>43609</v>
      </c>
      <c r="F196" s="3"/>
      <c r="G196">
        <v>7176</v>
      </c>
      <c r="H196">
        <v>8324.16</v>
      </c>
      <c r="I196" t="s">
        <v>11</v>
      </c>
    </row>
    <row r="197" spans="1:9" x14ac:dyDescent="0.2">
      <c r="A197" t="s">
        <v>32</v>
      </c>
      <c r="B197" t="s">
        <v>10</v>
      </c>
      <c r="C197" s="3">
        <v>43594</v>
      </c>
      <c r="D197" s="3">
        <v>43594</v>
      </c>
      <c r="E197" s="3">
        <v>43609</v>
      </c>
      <c r="F197" s="3"/>
      <c r="G197">
        <v>11062.2</v>
      </c>
      <c r="H197">
        <v>12832.2</v>
      </c>
      <c r="I197" t="s">
        <v>11</v>
      </c>
    </row>
    <row r="198" spans="1:9" x14ac:dyDescent="0.2">
      <c r="A198" t="s">
        <v>32</v>
      </c>
      <c r="B198" t="s">
        <v>10</v>
      </c>
      <c r="C198" s="3">
        <v>43593</v>
      </c>
      <c r="D198" s="3">
        <v>43593</v>
      </c>
      <c r="E198" s="3">
        <v>43608</v>
      </c>
      <c r="F198" s="3"/>
      <c r="G198">
        <v>8920.6</v>
      </c>
      <c r="H198">
        <v>10347.9</v>
      </c>
      <c r="I198" t="s">
        <v>11</v>
      </c>
    </row>
    <row r="199" spans="1:9" x14ac:dyDescent="0.2">
      <c r="A199" t="s">
        <v>32</v>
      </c>
      <c r="B199" t="s">
        <v>10</v>
      </c>
      <c r="C199" s="3">
        <v>43593</v>
      </c>
      <c r="D199" s="3">
        <v>43593</v>
      </c>
      <c r="E199" s="3">
        <v>43608</v>
      </c>
      <c r="F199" s="3"/>
      <c r="G199">
        <v>3758.04</v>
      </c>
      <c r="H199">
        <v>4359.33</v>
      </c>
      <c r="I199" t="s">
        <v>11</v>
      </c>
    </row>
    <row r="200" spans="1:9" x14ac:dyDescent="0.2">
      <c r="A200" t="s">
        <v>20</v>
      </c>
      <c r="B200" t="s">
        <v>10</v>
      </c>
      <c r="C200" s="3">
        <v>43593</v>
      </c>
      <c r="D200" s="3">
        <v>43593</v>
      </c>
      <c r="E200" s="3">
        <v>43638</v>
      </c>
      <c r="F200" s="3"/>
      <c r="G200">
        <v>26211</v>
      </c>
      <c r="H200">
        <v>30404.7</v>
      </c>
      <c r="I200" t="s">
        <v>11</v>
      </c>
    </row>
    <row r="201" spans="1:9" x14ac:dyDescent="0.2">
      <c r="A201" t="s">
        <v>32</v>
      </c>
      <c r="B201" t="s">
        <v>10</v>
      </c>
      <c r="C201" s="3">
        <v>43592</v>
      </c>
      <c r="D201" s="3">
        <v>43592</v>
      </c>
      <c r="E201" s="3">
        <v>43607</v>
      </c>
      <c r="F201" s="3"/>
      <c r="G201">
        <v>3758.04</v>
      </c>
      <c r="H201">
        <v>4359.33</v>
      </c>
      <c r="I201" t="s">
        <v>11</v>
      </c>
    </row>
    <row r="202" spans="1:9" x14ac:dyDescent="0.2">
      <c r="A202" t="s">
        <v>32</v>
      </c>
      <c r="B202" t="s">
        <v>10</v>
      </c>
      <c r="C202" s="3">
        <v>43592</v>
      </c>
      <c r="D202" s="3">
        <v>43592</v>
      </c>
      <c r="E202" s="3">
        <v>43607</v>
      </c>
      <c r="F202" s="3"/>
      <c r="G202">
        <v>2201.6799999999998</v>
      </c>
      <c r="H202">
        <v>2553.9499999999998</v>
      </c>
      <c r="I202" t="s">
        <v>11</v>
      </c>
    </row>
    <row r="203" spans="1:9" x14ac:dyDescent="0.2">
      <c r="A203" t="s">
        <v>32</v>
      </c>
      <c r="B203" t="s">
        <v>10</v>
      </c>
      <c r="C203" s="3">
        <v>43592</v>
      </c>
      <c r="D203" s="3">
        <v>43592</v>
      </c>
      <c r="E203" s="3">
        <v>43607</v>
      </c>
      <c r="F203" s="3"/>
      <c r="G203">
        <v>2676.18</v>
      </c>
      <c r="H203">
        <v>3104.37</v>
      </c>
      <c r="I203" t="s">
        <v>11</v>
      </c>
    </row>
    <row r="204" spans="1:9" x14ac:dyDescent="0.2">
      <c r="A204" t="s">
        <v>18</v>
      </c>
      <c r="B204" t="s">
        <v>10</v>
      </c>
      <c r="C204" s="3">
        <v>43591</v>
      </c>
      <c r="D204" s="3">
        <v>43591</v>
      </c>
      <c r="E204" s="3">
        <v>43621</v>
      </c>
      <c r="F204" s="3"/>
      <c r="G204">
        <v>64328</v>
      </c>
      <c r="H204">
        <v>74620.399999999994</v>
      </c>
      <c r="I204" t="s">
        <v>11</v>
      </c>
    </row>
    <row r="205" spans="1:9" x14ac:dyDescent="0.2">
      <c r="A205" t="s">
        <v>23</v>
      </c>
      <c r="B205" t="s">
        <v>10</v>
      </c>
      <c r="C205" s="3">
        <v>43591</v>
      </c>
      <c r="D205" s="3">
        <v>43591</v>
      </c>
      <c r="E205" s="3">
        <v>43651</v>
      </c>
      <c r="F205" s="3"/>
      <c r="G205">
        <v>2340</v>
      </c>
      <c r="H205">
        <v>2714.4</v>
      </c>
      <c r="I205" t="s">
        <v>11</v>
      </c>
    </row>
    <row r="206" spans="1:9" x14ac:dyDescent="0.2">
      <c r="A206" t="s">
        <v>16</v>
      </c>
      <c r="B206" t="s">
        <v>10</v>
      </c>
      <c r="C206" s="3">
        <v>43588</v>
      </c>
      <c r="D206" s="3">
        <v>43588</v>
      </c>
      <c r="E206" s="3">
        <v>43603</v>
      </c>
      <c r="F206" s="3"/>
      <c r="G206">
        <v>17000</v>
      </c>
      <c r="H206">
        <v>19720</v>
      </c>
      <c r="I206" t="s">
        <v>11</v>
      </c>
    </row>
    <row r="207" spans="1:9" x14ac:dyDescent="0.2">
      <c r="A207" t="s">
        <v>32</v>
      </c>
      <c r="B207" t="s">
        <v>10</v>
      </c>
      <c r="C207" s="3">
        <v>43587</v>
      </c>
      <c r="D207" s="3">
        <v>43587</v>
      </c>
      <c r="E207" s="3">
        <v>43602</v>
      </c>
      <c r="F207" s="3"/>
      <c r="G207">
        <v>9581.0400000000009</v>
      </c>
      <c r="H207">
        <v>11114</v>
      </c>
      <c r="I207" t="s">
        <v>11</v>
      </c>
    </row>
    <row r="208" spans="1:9" x14ac:dyDescent="0.2">
      <c r="A208" t="s">
        <v>21</v>
      </c>
      <c r="B208" t="s">
        <v>10</v>
      </c>
      <c r="C208" s="3">
        <v>43585</v>
      </c>
      <c r="D208" s="3">
        <v>43585</v>
      </c>
      <c r="E208" s="3">
        <v>43592</v>
      </c>
      <c r="F208" s="3"/>
      <c r="G208">
        <v>16980</v>
      </c>
      <c r="H208">
        <v>19696.8</v>
      </c>
      <c r="I208" t="s">
        <v>11</v>
      </c>
    </row>
    <row r="209" spans="1:9" x14ac:dyDescent="0.2">
      <c r="A209" t="s">
        <v>18</v>
      </c>
      <c r="B209" t="s">
        <v>10</v>
      </c>
      <c r="C209" s="3">
        <v>43584</v>
      </c>
      <c r="D209" s="3">
        <v>43584</v>
      </c>
      <c r="E209" s="3">
        <v>43614</v>
      </c>
      <c r="F209" s="3"/>
      <c r="G209">
        <v>1920</v>
      </c>
      <c r="H209">
        <v>2227.1999999999998</v>
      </c>
      <c r="I209" t="s">
        <v>11</v>
      </c>
    </row>
    <row r="210" spans="1:9" x14ac:dyDescent="0.2">
      <c r="A210" t="s">
        <v>32</v>
      </c>
      <c r="B210" t="s">
        <v>10</v>
      </c>
      <c r="C210" s="3">
        <v>43584</v>
      </c>
      <c r="D210" s="3">
        <v>43584</v>
      </c>
      <c r="E210" s="3">
        <v>43599</v>
      </c>
      <c r="F210" s="3"/>
      <c r="G210">
        <v>3798.91</v>
      </c>
      <c r="H210">
        <v>4406.74</v>
      </c>
      <c r="I210" t="s">
        <v>11</v>
      </c>
    </row>
    <row r="211" spans="1:9" x14ac:dyDescent="0.2">
      <c r="A211" t="s">
        <v>18</v>
      </c>
      <c r="B211" t="s">
        <v>10</v>
      </c>
      <c r="C211" s="3">
        <v>43581</v>
      </c>
      <c r="D211" s="3">
        <v>43581</v>
      </c>
      <c r="E211" s="3">
        <v>43611</v>
      </c>
      <c r="F211" s="3"/>
      <c r="G211">
        <v>30033</v>
      </c>
      <c r="H211">
        <v>34838.199999999997</v>
      </c>
      <c r="I211" t="s">
        <v>11</v>
      </c>
    </row>
    <row r="212" spans="1:9" x14ac:dyDescent="0.2">
      <c r="A212" t="s">
        <v>32</v>
      </c>
      <c r="B212" t="s">
        <v>10</v>
      </c>
      <c r="C212" s="3">
        <v>43580</v>
      </c>
      <c r="D212" s="3">
        <v>43580</v>
      </c>
      <c r="E212" s="3">
        <v>43595</v>
      </c>
      <c r="F212" s="3"/>
      <c r="G212">
        <v>14523.3</v>
      </c>
      <c r="H212">
        <v>16847.099999999999</v>
      </c>
      <c r="I212" t="s">
        <v>11</v>
      </c>
    </row>
    <row r="213" spans="1:9" x14ac:dyDescent="0.2">
      <c r="A213" t="s">
        <v>36</v>
      </c>
      <c r="B213" t="s">
        <v>10</v>
      </c>
      <c r="C213" s="3">
        <v>43579</v>
      </c>
      <c r="D213" s="3">
        <v>43579</v>
      </c>
      <c r="E213" s="3">
        <v>43594</v>
      </c>
      <c r="F213" s="3"/>
      <c r="G213">
        <v>6940</v>
      </c>
      <c r="H213">
        <v>8050.4</v>
      </c>
      <c r="I213" t="s">
        <v>11</v>
      </c>
    </row>
    <row r="214" spans="1:9" x14ac:dyDescent="0.2">
      <c r="A214" t="s">
        <v>16</v>
      </c>
      <c r="B214" t="s">
        <v>10</v>
      </c>
      <c r="C214" s="3">
        <v>43579</v>
      </c>
      <c r="D214" s="3">
        <v>43579</v>
      </c>
      <c r="E214" s="3">
        <v>43594</v>
      </c>
      <c r="F214" s="3"/>
      <c r="G214">
        <v>44984</v>
      </c>
      <c r="H214">
        <v>52181.4</v>
      </c>
      <c r="I214" t="s">
        <v>11</v>
      </c>
    </row>
    <row r="215" spans="1:9" x14ac:dyDescent="0.2">
      <c r="A215" t="s">
        <v>18</v>
      </c>
      <c r="B215" t="s">
        <v>10</v>
      </c>
      <c r="C215" s="3">
        <v>43579</v>
      </c>
      <c r="D215" s="3">
        <v>43579</v>
      </c>
      <c r="E215" s="3">
        <v>43609</v>
      </c>
      <c r="F215" s="3"/>
      <c r="G215">
        <v>26751</v>
      </c>
      <c r="H215">
        <v>31031.1</v>
      </c>
      <c r="I215" t="s">
        <v>11</v>
      </c>
    </row>
    <row r="216" spans="1:9" x14ac:dyDescent="0.2">
      <c r="A216" t="s">
        <v>19</v>
      </c>
      <c r="B216" t="s">
        <v>10</v>
      </c>
      <c r="C216" s="3">
        <v>43578</v>
      </c>
      <c r="D216" s="3">
        <v>43578</v>
      </c>
      <c r="E216" s="3">
        <v>43593</v>
      </c>
      <c r="F216" s="3"/>
      <c r="G216">
        <v>400</v>
      </c>
      <c r="H216">
        <v>464</v>
      </c>
      <c r="I216" t="s">
        <v>11</v>
      </c>
    </row>
    <row r="217" spans="1:9" x14ac:dyDescent="0.2">
      <c r="A217" t="s">
        <v>25</v>
      </c>
      <c r="B217" t="s">
        <v>10</v>
      </c>
      <c r="C217" s="3">
        <v>43578</v>
      </c>
      <c r="D217" s="3">
        <v>43578</v>
      </c>
      <c r="E217" s="3">
        <v>43608</v>
      </c>
      <c r="F217" s="3"/>
      <c r="G217">
        <v>2604.4</v>
      </c>
      <c r="H217">
        <v>3021.1</v>
      </c>
      <c r="I217" t="s">
        <v>11</v>
      </c>
    </row>
    <row r="218" spans="1:9" x14ac:dyDescent="0.2">
      <c r="A218" t="s">
        <v>32</v>
      </c>
      <c r="B218" t="s">
        <v>10</v>
      </c>
      <c r="C218" s="3">
        <v>43578</v>
      </c>
      <c r="D218" s="3">
        <v>43578</v>
      </c>
      <c r="E218" s="3">
        <v>43593</v>
      </c>
      <c r="F218" s="3"/>
      <c r="G218">
        <v>12422.1</v>
      </c>
      <c r="H218">
        <v>14409.6</v>
      </c>
      <c r="I218" t="s">
        <v>11</v>
      </c>
    </row>
    <row r="219" spans="1:9" x14ac:dyDescent="0.2">
      <c r="A219" t="s">
        <v>32</v>
      </c>
      <c r="B219" t="s">
        <v>10</v>
      </c>
      <c r="C219" s="3">
        <v>43578</v>
      </c>
      <c r="D219" s="3">
        <v>43578</v>
      </c>
      <c r="E219" s="3">
        <v>43593</v>
      </c>
      <c r="F219" s="3"/>
      <c r="G219">
        <v>15230.8</v>
      </c>
      <c r="H219">
        <v>17667.7</v>
      </c>
      <c r="I219" t="s">
        <v>11</v>
      </c>
    </row>
    <row r="220" spans="1:9" x14ac:dyDescent="0.2">
      <c r="A220" t="s">
        <v>32</v>
      </c>
      <c r="B220" t="s">
        <v>10</v>
      </c>
      <c r="C220" s="3">
        <v>43578</v>
      </c>
      <c r="D220" s="3">
        <v>43578</v>
      </c>
      <c r="E220" s="3">
        <v>43593</v>
      </c>
      <c r="F220" s="3"/>
      <c r="G220">
        <v>22488</v>
      </c>
      <c r="H220">
        <v>26086.1</v>
      </c>
      <c r="I220" t="s">
        <v>11</v>
      </c>
    </row>
    <row r="221" spans="1:9" x14ac:dyDescent="0.2">
      <c r="A221" t="s">
        <v>18</v>
      </c>
      <c r="B221" t="s">
        <v>10</v>
      </c>
      <c r="C221" s="3">
        <v>43578</v>
      </c>
      <c r="D221" s="3">
        <v>43566</v>
      </c>
      <c r="E221" s="3">
        <v>43608</v>
      </c>
      <c r="F221" s="3"/>
      <c r="G221">
        <v>20187</v>
      </c>
      <c r="H221">
        <v>23416.9</v>
      </c>
      <c r="I221" t="s">
        <v>11</v>
      </c>
    </row>
    <row r="222" spans="1:9" x14ac:dyDescent="0.2">
      <c r="A222" t="s">
        <v>18</v>
      </c>
      <c r="B222" t="s">
        <v>10</v>
      </c>
      <c r="C222" s="3">
        <v>43578</v>
      </c>
      <c r="D222" s="3">
        <v>43565</v>
      </c>
      <c r="E222" s="3">
        <v>43608</v>
      </c>
      <c r="F222" s="3"/>
      <c r="G222">
        <v>20277</v>
      </c>
      <c r="H222">
        <v>23521.3</v>
      </c>
      <c r="I222" t="s">
        <v>11</v>
      </c>
    </row>
    <row r="223" spans="1:9" x14ac:dyDescent="0.2">
      <c r="A223" t="s">
        <v>18</v>
      </c>
      <c r="B223" t="s">
        <v>10</v>
      </c>
      <c r="C223" s="3">
        <v>43578</v>
      </c>
      <c r="D223" s="3">
        <v>43564</v>
      </c>
      <c r="E223" s="3">
        <v>43608</v>
      </c>
      <c r="F223" s="3"/>
      <c r="G223">
        <v>14838</v>
      </c>
      <c r="H223">
        <v>17212</v>
      </c>
      <c r="I223" t="s">
        <v>11</v>
      </c>
    </row>
    <row r="224" spans="1:9" x14ac:dyDescent="0.2">
      <c r="A224" t="s">
        <v>18</v>
      </c>
      <c r="B224" t="s">
        <v>10</v>
      </c>
      <c r="C224" s="3">
        <v>43578</v>
      </c>
      <c r="D224" s="3">
        <v>43563</v>
      </c>
      <c r="E224" s="3">
        <v>43608</v>
      </c>
      <c r="F224" s="3"/>
      <c r="G224">
        <v>23051</v>
      </c>
      <c r="H224">
        <v>26739.1</v>
      </c>
      <c r="I224" t="s">
        <v>11</v>
      </c>
    </row>
    <row r="225" spans="1:9" x14ac:dyDescent="0.2">
      <c r="A225" t="s">
        <v>18</v>
      </c>
      <c r="B225" t="s">
        <v>10</v>
      </c>
      <c r="C225" s="3">
        <v>43578</v>
      </c>
      <c r="D225" s="3">
        <v>43558</v>
      </c>
      <c r="E225" s="3">
        <v>43608</v>
      </c>
      <c r="F225" s="3"/>
      <c r="G225">
        <v>36700</v>
      </c>
      <c r="H225">
        <v>42572</v>
      </c>
      <c r="I225" t="s">
        <v>11</v>
      </c>
    </row>
    <row r="226" spans="1:9" x14ac:dyDescent="0.2">
      <c r="A226" t="s">
        <v>18</v>
      </c>
      <c r="B226" t="s">
        <v>10</v>
      </c>
      <c r="C226" s="3">
        <v>43578</v>
      </c>
      <c r="D226" s="3">
        <v>43557</v>
      </c>
      <c r="E226" s="3">
        <v>43608</v>
      </c>
      <c r="F226" s="3"/>
      <c r="G226">
        <v>20830</v>
      </c>
      <c r="H226">
        <v>24162.799999999999</v>
      </c>
      <c r="I226" t="s">
        <v>11</v>
      </c>
    </row>
    <row r="227" spans="1:9" x14ac:dyDescent="0.2">
      <c r="A227" t="s">
        <v>26</v>
      </c>
      <c r="B227" t="s">
        <v>10</v>
      </c>
      <c r="C227" s="3">
        <v>43578</v>
      </c>
      <c r="D227" s="3">
        <v>43578</v>
      </c>
      <c r="E227" s="3">
        <v>43585</v>
      </c>
      <c r="F227" s="3"/>
      <c r="G227">
        <v>2954</v>
      </c>
      <c r="H227">
        <v>3426.64</v>
      </c>
      <c r="I227" t="s">
        <v>11</v>
      </c>
    </row>
    <row r="228" spans="1:9" x14ac:dyDescent="0.2">
      <c r="A228" t="s">
        <v>32</v>
      </c>
      <c r="B228" t="s">
        <v>10</v>
      </c>
      <c r="C228" s="3">
        <v>43577</v>
      </c>
      <c r="D228" s="3">
        <v>43577</v>
      </c>
      <c r="E228" s="3">
        <v>43592</v>
      </c>
      <c r="F228" s="3"/>
      <c r="G228">
        <v>3183.6</v>
      </c>
      <c r="H228">
        <v>3692.98</v>
      </c>
      <c r="I228" t="s">
        <v>11</v>
      </c>
    </row>
    <row r="229" spans="1:9" x14ac:dyDescent="0.2">
      <c r="A229" t="s">
        <v>32</v>
      </c>
      <c r="B229" t="s">
        <v>10</v>
      </c>
      <c r="C229" s="3">
        <v>43577</v>
      </c>
      <c r="D229" s="3">
        <v>43577</v>
      </c>
      <c r="E229" s="3">
        <v>43592</v>
      </c>
      <c r="F229" s="3"/>
      <c r="G229">
        <v>3183.6</v>
      </c>
      <c r="H229">
        <v>3692.98</v>
      </c>
      <c r="I229" t="s">
        <v>11</v>
      </c>
    </row>
    <row r="230" spans="1:9" x14ac:dyDescent="0.2">
      <c r="A230" t="s">
        <v>32</v>
      </c>
      <c r="B230" t="s">
        <v>10</v>
      </c>
      <c r="C230" s="3">
        <v>43577</v>
      </c>
      <c r="D230" s="3">
        <v>43577</v>
      </c>
      <c r="E230" s="3">
        <v>43592</v>
      </c>
      <c r="F230" s="3"/>
      <c r="G230">
        <v>3752.1</v>
      </c>
      <c r="H230">
        <v>4352.4399999999996</v>
      </c>
      <c r="I230" t="s">
        <v>11</v>
      </c>
    </row>
    <row r="231" spans="1:9" x14ac:dyDescent="0.2">
      <c r="A231" t="s">
        <v>32</v>
      </c>
      <c r="B231" t="s">
        <v>10</v>
      </c>
      <c r="C231" s="3">
        <v>43577</v>
      </c>
      <c r="D231" s="3">
        <v>43577</v>
      </c>
      <c r="E231" s="3">
        <v>43592</v>
      </c>
      <c r="F231" s="3"/>
      <c r="G231">
        <v>2671.95</v>
      </c>
      <c r="H231">
        <v>3099.46</v>
      </c>
      <c r="I231" t="s">
        <v>11</v>
      </c>
    </row>
    <row r="232" spans="1:9" x14ac:dyDescent="0.2">
      <c r="A232" t="s">
        <v>32</v>
      </c>
      <c r="B232" t="s">
        <v>10</v>
      </c>
      <c r="C232" s="3">
        <v>43577</v>
      </c>
      <c r="D232" s="3">
        <v>43577</v>
      </c>
      <c r="E232" s="3">
        <v>43592</v>
      </c>
      <c r="F232" s="3"/>
      <c r="G232">
        <v>2671.95</v>
      </c>
      <c r="H232">
        <v>3099.46</v>
      </c>
      <c r="I232" t="s">
        <v>11</v>
      </c>
    </row>
    <row r="233" spans="1:9" x14ac:dyDescent="0.2">
      <c r="A233" t="s">
        <v>25</v>
      </c>
      <c r="B233" t="s">
        <v>10</v>
      </c>
      <c r="C233" s="3">
        <v>43577</v>
      </c>
      <c r="D233" s="3">
        <v>43577</v>
      </c>
      <c r="E233" s="3">
        <v>43607</v>
      </c>
      <c r="F233" s="3"/>
      <c r="G233">
        <v>1302.2</v>
      </c>
      <c r="H233">
        <v>1510.55</v>
      </c>
      <c r="I233" t="s">
        <v>11</v>
      </c>
    </row>
    <row r="234" spans="1:9" x14ac:dyDescent="0.2">
      <c r="A234" t="s">
        <v>18</v>
      </c>
      <c r="B234" t="s">
        <v>10</v>
      </c>
      <c r="C234" s="3">
        <v>43577</v>
      </c>
      <c r="D234" s="3">
        <v>43557</v>
      </c>
      <c r="E234" s="3">
        <v>43607</v>
      </c>
      <c r="F234" s="3"/>
      <c r="G234">
        <v>6711</v>
      </c>
      <c r="H234">
        <v>7784.76</v>
      </c>
      <c r="I234" t="s">
        <v>11</v>
      </c>
    </row>
    <row r="235" spans="1:9" x14ac:dyDescent="0.2">
      <c r="A235" t="s">
        <v>20</v>
      </c>
      <c r="B235" t="s">
        <v>10</v>
      </c>
      <c r="C235" s="3">
        <v>43577</v>
      </c>
      <c r="D235" s="3">
        <v>43577</v>
      </c>
      <c r="E235" s="3">
        <v>43622</v>
      </c>
      <c r="F235" s="3"/>
      <c r="G235">
        <v>40701</v>
      </c>
      <c r="H235">
        <v>47213.1</v>
      </c>
      <c r="I235" t="s">
        <v>11</v>
      </c>
    </row>
    <row r="236" spans="1:9" x14ac:dyDescent="0.2">
      <c r="A236" t="s">
        <v>18</v>
      </c>
      <c r="B236" t="s">
        <v>10</v>
      </c>
      <c r="C236" s="3">
        <v>43577</v>
      </c>
      <c r="D236" s="3">
        <v>43577</v>
      </c>
      <c r="E236" s="3">
        <v>43607</v>
      </c>
      <c r="F236" s="3"/>
      <c r="G236">
        <v>4133</v>
      </c>
      <c r="H236">
        <v>4794.28</v>
      </c>
      <c r="I236" t="s">
        <v>11</v>
      </c>
    </row>
    <row r="237" spans="1:9" x14ac:dyDescent="0.2">
      <c r="A237" t="s">
        <v>25</v>
      </c>
      <c r="B237" t="s">
        <v>10</v>
      </c>
      <c r="C237" s="3">
        <v>43572</v>
      </c>
      <c r="D237" s="3">
        <v>43572</v>
      </c>
      <c r="E237" s="3">
        <v>43602</v>
      </c>
      <c r="F237" s="3"/>
      <c r="G237">
        <v>1302.2</v>
      </c>
      <c r="H237">
        <v>1510.55</v>
      </c>
      <c r="I237" t="s">
        <v>11</v>
      </c>
    </row>
    <row r="238" spans="1:9" x14ac:dyDescent="0.2">
      <c r="A238" t="s">
        <v>26</v>
      </c>
      <c r="B238" t="s">
        <v>10</v>
      </c>
      <c r="C238" s="3">
        <v>43572</v>
      </c>
      <c r="D238" s="3">
        <v>43572</v>
      </c>
      <c r="E238" s="3">
        <v>43579</v>
      </c>
      <c r="F238" s="3"/>
      <c r="G238">
        <v>1477</v>
      </c>
      <c r="H238">
        <v>1713.32</v>
      </c>
      <c r="I238" t="s">
        <v>11</v>
      </c>
    </row>
    <row r="239" spans="1:9" x14ac:dyDescent="0.2">
      <c r="A239" t="s">
        <v>32</v>
      </c>
      <c r="B239" t="s">
        <v>10</v>
      </c>
      <c r="C239" s="3">
        <v>43572</v>
      </c>
      <c r="D239" s="3">
        <v>43572</v>
      </c>
      <c r="E239" s="3">
        <v>43587</v>
      </c>
      <c r="F239" s="3"/>
      <c r="G239">
        <v>8369.4</v>
      </c>
      <c r="H239">
        <v>9708.5</v>
      </c>
      <c r="I239" t="s">
        <v>11</v>
      </c>
    </row>
    <row r="240" spans="1:9" x14ac:dyDescent="0.2">
      <c r="A240" t="s">
        <v>19</v>
      </c>
      <c r="B240" t="s">
        <v>10</v>
      </c>
      <c r="C240" s="3">
        <v>43567</v>
      </c>
      <c r="D240" s="3">
        <v>43567</v>
      </c>
      <c r="E240" s="3">
        <v>43582</v>
      </c>
      <c r="F240" s="3"/>
      <c r="G240">
        <v>7517</v>
      </c>
      <c r="H240">
        <v>8719.7199999999993</v>
      </c>
      <c r="I240" t="s">
        <v>11</v>
      </c>
    </row>
    <row r="241" spans="1:9" x14ac:dyDescent="0.2">
      <c r="A241" t="s">
        <v>19</v>
      </c>
      <c r="B241" t="s">
        <v>10</v>
      </c>
      <c r="C241" s="3">
        <v>43567</v>
      </c>
      <c r="D241" s="3">
        <v>43567</v>
      </c>
      <c r="E241" s="3">
        <v>43582</v>
      </c>
      <c r="F241" s="3"/>
      <c r="G241">
        <v>6161</v>
      </c>
      <c r="H241">
        <v>7146.76</v>
      </c>
      <c r="I241" t="s">
        <v>11</v>
      </c>
    </row>
    <row r="242" spans="1:9" x14ac:dyDescent="0.2">
      <c r="A242" t="s">
        <v>19</v>
      </c>
      <c r="B242" t="s">
        <v>10</v>
      </c>
      <c r="C242" s="3">
        <v>43567</v>
      </c>
      <c r="D242" s="3">
        <v>43567</v>
      </c>
      <c r="E242" s="3">
        <v>43582</v>
      </c>
      <c r="F242" s="3"/>
      <c r="G242">
        <v>7499</v>
      </c>
      <c r="H242">
        <v>8698.84</v>
      </c>
      <c r="I242" t="s">
        <v>11</v>
      </c>
    </row>
    <row r="243" spans="1:9" x14ac:dyDescent="0.2">
      <c r="A243" t="s">
        <v>19</v>
      </c>
      <c r="B243" t="s">
        <v>10</v>
      </c>
      <c r="C243" s="3">
        <v>43567</v>
      </c>
      <c r="D243" s="3">
        <v>43580</v>
      </c>
      <c r="E243" s="3">
        <v>43582</v>
      </c>
      <c r="F243" s="3"/>
      <c r="G243">
        <v>7167</v>
      </c>
      <c r="H243">
        <v>8313.7199999999993</v>
      </c>
      <c r="I243" t="s">
        <v>11</v>
      </c>
    </row>
    <row r="244" spans="1:9" x14ac:dyDescent="0.2">
      <c r="A244" t="s">
        <v>19</v>
      </c>
      <c r="B244" t="s">
        <v>10</v>
      </c>
      <c r="C244" s="3">
        <v>43567</v>
      </c>
      <c r="D244" s="3">
        <v>43565</v>
      </c>
      <c r="E244" s="3">
        <v>43582</v>
      </c>
      <c r="F244" s="3"/>
      <c r="G244">
        <v>28392</v>
      </c>
      <c r="H244">
        <v>32934.699999999997</v>
      </c>
      <c r="I244" t="s">
        <v>11</v>
      </c>
    </row>
    <row r="245" spans="1:9" x14ac:dyDescent="0.2">
      <c r="A245" t="s">
        <v>37</v>
      </c>
      <c r="B245" t="s">
        <v>10</v>
      </c>
      <c r="C245" s="3">
        <v>43567</v>
      </c>
      <c r="D245" s="3">
        <v>43567</v>
      </c>
      <c r="E245" s="3">
        <v>43627</v>
      </c>
      <c r="F245" s="3"/>
      <c r="G245">
        <v>17857</v>
      </c>
      <c r="H245">
        <v>20714.099999999999</v>
      </c>
      <c r="I245" t="s">
        <v>11</v>
      </c>
    </row>
    <row r="246" spans="1:9" x14ac:dyDescent="0.2">
      <c r="A246" t="s">
        <v>20</v>
      </c>
      <c r="B246" t="s">
        <v>10</v>
      </c>
      <c r="C246" s="3">
        <v>43567</v>
      </c>
      <c r="D246" s="3">
        <v>43567</v>
      </c>
      <c r="E246" s="3">
        <v>43612</v>
      </c>
      <c r="F246" s="3"/>
      <c r="G246">
        <v>50336</v>
      </c>
      <c r="H246">
        <v>58389.7</v>
      </c>
      <c r="I246" t="s">
        <v>11</v>
      </c>
    </row>
    <row r="247" spans="1:9" x14ac:dyDescent="0.2">
      <c r="A247" t="s">
        <v>32</v>
      </c>
      <c r="B247" t="s">
        <v>10</v>
      </c>
      <c r="C247" s="3">
        <v>43567</v>
      </c>
      <c r="D247" s="3">
        <v>43567</v>
      </c>
      <c r="E247" s="3">
        <v>43582</v>
      </c>
      <c r="F247" s="3"/>
      <c r="G247">
        <v>20874.7</v>
      </c>
      <c r="H247">
        <v>24214.6</v>
      </c>
      <c r="I247" t="s">
        <v>11</v>
      </c>
    </row>
    <row r="248" spans="1:9" x14ac:dyDescent="0.2">
      <c r="A248" t="s">
        <v>32</v>
      </c>
      <c r="B248" t="s">
        <v>10</v>
      </c>
      <c r="C248" s="3">
        <v>43566</v>
      </c>
      <c r="D248" s="3">
        <v>43566</v>
      </c>
      <c r="E248" s="3">
        <v>43581</v>
      </c>
      <c r="F248" s="3"/>
      <c r="G248">
        <v>25050</v>
      </c>
      <c r="H248">
        <v>29058</v>
      </c>
      <c r="I248" t="s">
        <v>11</v>
      </c>
    </row>
    <row r="249" spans="1:9" x14ac:dyDescent="0.2">
      <c r="A249" t="s">
        <v>20</v>
      </c>
      <c r="B249" t="s">
        <v>10</v>
      </c>
      <c r="C249" s="3">
        <v>43565</v>
      </c>
      <c r="D249" s="3">
        <v>43565</v>
      </c>
      <c r="E249" s="3">
        <v>43610</v>
      </c>
      <c r="F249" s="3"/>
      <c r="G249">
        <v>22500</v>
      </c>
      <c r="H249">
        <v>26100</v>
      </c>
      <c r="I249" t="s">
        <v>11</v>
      </c>
    </row>
    <row r="250" spans="1:9" x14ac:dyDescent="0.2">
      <c r="A250" t="s">
        <v>18</v>
      </c>
      <c r="B250" t="s">
        <v>10</v>
      </c>
      <c r="C250" s="3">
        <v>43565</v>
      </c>
      <c r="D250" s="3">
        <v>43565</v>
      </c>
      <c r="E250" s="3">
        <v>43595</v>
      </c>
      <c r="F250" s="3"/>
      <c r="G250">
        <v>8266</v>
      </c>
      <c r="H250">
        <v>9588.56</v>
      </c>
      <c r="I250" t="s">
        <v>11</v>
      </c>
    </row>
    <row r="251" spans="1:9" x14ac:dyDescent="0.2">
      <c r="A251" t="s">
        <v>32</v>
      </c>
      <c r="B251" t="s">
        <v>10</v>
      </c>
      <c r="C251" s="3">
        <v>43565</v>
      </c>
      <c r="D251" s="3">
        <v>43565</v>
      </c>
      <c r="E251" s="3">
        <v>43580</v>
      </c>
      <c r="F251" s="3"/>
      <c r="G251">
        <v>38243.5</v>
      </c>
      <c r="H251">
        <v>44362.400000000001</v>
      </c>
      <c r="I251" t="s">
        <v>11</v>
      </c>
    </row>
    <row r="252" spans="1:9" x14ac:dyDescent="0.2">
      <c r="A252" t="s">
        <v>32</v>
      </c>
      <c r="B252" t="s">
        <v>10</v>
      </c>
      <c r="C252" s="3">
        <v>43563</v>
      </c>
      <c r="D252" s="3">
        <v>43563</v>
      </c>
      <c r="E252" s="3">
        <v>43578</v>
      </c>
      <c r="F252" s="3"/>
      <c r="G252">
        <v>18479.8</v>
      </c>
      <c r="H252">
        <v>21436.6</v>
      </c>
      <c r="I252" t="s">
        <v>11</v>
      </c>
    </row>
    <row r="253" spans="1:9" x14ac:dyDescent="0.2">
      <c r="A253" t="s">
        <v>25</v>
      </c>
      <c r="B253" t="s">
        <v>10</v>
      </c>
      <c r="C253" s="3">
        <v>43560</v>
      </c>
      <c r="D253" s="3">
        <v>43560</v>
      </c>
      <c r="E253" s="3">
        <v>43590</v>
      </c>
      <c r="F253" s="3"/>
      <c r="G253">
        <v>11050</v>
      </c>
      <c r="H253">
        <v>12818</v>
      </c>
      <c r="I253" t="s">
        <v>11</v>
      </c>
    </row>
    <row r="254" spans="1:9" x14ac:dyDescent="0.2">
      <c r="A254" t="s">
        <v>18</v>
      </c>
      <c r="B254" t="s">
        <v>10</v>
      </c>
      <c r="C254" s="3">
        <v>43559</v>
      </c>
      <c r="D254" s="3">
        <v>43559</v>
      </c>
      <c r="E254" s="3">
        <v>43589</v>
      </c>
      <c r="F254" s="3"/>
      <c r="G254">
        <v>5382</v>
      </c>
      <c r="H254">
        <v>6243.12</v>
      </c>
      <c r="I254" t="s">
        <v>11</v>
      </c>
    </row>
    <row r="255" spans="1:9" x14ac:dyDescent="0.2">
      <c r="A255" t="s">
        <v>19</v>
      </c>
      <c r="B255" t="s">
        <v>10</v>
      </c>
      <c r="C255" s="3">
        <v>43557</v>
      </c>
      <c r="D255" s="3">
        <v>43552</v>
      </c>
      <c r="E255" s="3">
        <v>43572</v>
      </c>
      <c r="F255" s="3"/>
      <c r="G255">
        <v>7499</v>
      </c>
      <c r="H255">
        <v>8698.84</v>
      </c>
      <c r="I255" t="s">
        <v>11</v>
      </c>
    </row>
    <row r="256" spans="1:9" x14ac:dyDescent="0.2">
      <c r="A256" t="s">
        <v>19</v>
      </c>
      <c r="B256" t="s">
        <v>10</v>
      </c>
      <c r="C256" s="3">
        <v>43557</v>
      </c>
      <c r="D256" s="3">
        <v>43552</v>
      </c>
      <c r="E256" s="3">
        <v>43572</v>
      </c>
      <c r="F256" s="3"/>
      <c r="G256">
        <v>14112</v>
      </c>
      <c r="H256">
        <v>16369.9</v>
      </c>
      <c r="I256" t="s">
        <v>11</v>
      </c>
    </row>
    <row r="257" spans="1:9" x14ac:dyDescent="0.2">
      <c r="A257" t="s">
        <v>19</v>
      </c>
      <c r="B257" t="s">
        <v>10</v>
      </c>
      <c r="C257" s="3">
        <v>43557</v>
      </c>
      <c r="D257" s="3">
        <v>43552</v>
      </c>
      <c r="E257" s="3">
        <v>43572</v>
      </c>
      <c r="F257" s="3"/>
      <c r="G257">
        <v>13762</v>
      </c>
      <c r="H257">
        <v>15963.9</v>
      </c>
      <c r="I257" t="s">
        <v>11</v>
      </c>
    </row>
    <row r="258" spans="1:9" x14ac:dyDescent="0.2">
      <c r="A258" t="s">
        <v>19</v>
      </c>
      <c r="B258" t="s">
        <v>10</v>
      </c>
      <c r="C258" s="3">
        <v>43557</v>
      </c>
      <c r="D258" s="3">
        <v>43552</v>
      </c>
      <c r="E258" s="3">
        <v>43572</v>
      </c>
      <c r="F258" s="3"/>
      <c r="G258">
        <v>15668</v>
      </c>
      <c r="H258">
        <v>18174.8</v>
      </c>
      <c r="I258" t="s">
        <v>11</v>
      </c>
    </row>
    <row r="259" spans="1:9" x14ac:dyDescent="0.2">
      <c r="A259" t="s">
        <v>19</v>
      </c>
      <c r="B259" t="s">
        <v>10</v>
      </c>
      <c r="C259" s="3">
        <v>43557</v>
      </c>
      <c r="D259" s="3">
        <v>43550</v>
      </c>
      <c r="E259" s="3">
        <v>43572</v>
      </c>
      <c r="F259" s="3"/>
      <c r="G259">
        <v>7177</v>
      </c>
      <c r="H259">
        <v>8325.32</v>
      </c>
      <c r="I259" t="s">
        <v>11</v>
      </c>
    </row>
    <row r="260" spans="1:9" x14ac:dyDescent="0.2">
      <c r="A260" t="s">
        <v>19</v>
      </c>
      <c r="B260" t="s">
        <v>10</v>
      </c>
      <c r="C260" s="3">
        <v>43557</v>
      </c>
      <c r="D260" s="3">
        <v>43557</v>
      </c>
      <c r="E260" s="3">
        <v>43572</v>
      </c>
      <c r="F260" s="3"/>
      <c r="G260">
        <v>7649</v>
      </c>
      <c r="H260">
        <v>8872.84</v>
      </c>
      <c r="I260" t="s">
        <v>11</v>
      </c>
    </row>
    <row r="261" spans="1:9" x14ac:dyDescent="0.2">
      <c r="A261" t="s">
        <v>19</v>
      </c>
      <c r="B261" t="s">
        <v>10</v>
      </c>
      <c r="C261" s="3">
        <v>43557</v>
      </c>
      <c r="D261" s="3">
        <v>43557</v>
      </c>
      <c r="E261" s="3">
        <v>43572</v>
      </c>
      <c r="F261" s="3"/>
      <c r="G261">
        <v>7499</v>
      </c>
      <c r="H261">
        <v>8698.84</v>
      </c>
      <c r="I261" t="s">
        <v>11</v>
      </c>
    </row>
    <row r="262" spans="1:9" x14ac:dyDescent="0.2">
      <c r="A262" t="s">
        <v>19</v>
      </c>
      <c r="B262" t="s">
        <v>10</v>
      </c>
      <c r="C262" s="3">
        <v>43557</v>
      </c>
      <c r="D262" s="3">
        <v>43557</v>
      </c>
      <c r="E262" s="3">
        <v>43572</v>
      </c>
      <c r="F262" s="3"/>
      <c r="G262">
        <v>7158</v>
      </c>
      <c r="H262">
        <v>8303.2800000000007</v>
      </c>
      <c r="I262" t="s">
        <v>11</v>
      </c>
    </row>
    <row r="263" spans="1:9" x14ac:dyDescent="0.2">
      <c r="A263" t="s">
        <v>18</v>
      </c>
      <c r="B263" t="s">
        <v>10</v>
      </c>
      <c r="C263" s="3">
        <v>43556</v>
      </c>
      <c r="D263" s="3">
        <v>43556</v>
      </c>
      <c r="E263" s="3">
        <v>43586</v>
      </c>
      <c r="F263" s="3"/>
      <c r="G263">
        <v>7061</v>
      </c>
      <c r="H263">
        <v>8190.76</v>
      </c>
      <c r="I263" t="s">
        <v>11</v>
      </c>
    </row>
    <row r="264" spans="1:9" x14ac:dyDescent="0.2">
      <c r="A264" t="s">
        <v>18</v>
      </c>
      <c r="B264" t="s">
        <v>10</v>
      </c>
      <c r="C264" s="3">
        <v>43556</v>
      </c>
      <c r="D264" s="3">
        <v>43556</v>
      </c>
      <c r="E264" s="3">
        <v>43586</v>
      </c>
      <c r="F264" s="3"/>
      <c r="G264">
        <v>7726</v>
      </c>
      <c r="H264">
        <v>8962.16</v>
      </c>
      <c r="I264" t="s">
        <v>11</v>
      </c>
    </row>
    <row r="265" spans="1:9" x14ac:dyDescent="0.2">
      <c r="A265" t="s">
        <v>18</v>
      </c>
      <c r="B265" t="s">
        <v>10</v>
      </c>
      <c r="C265" s="3">
        <v>43556</v>
      </c>
      <c r="D265" s="3">
        <v>43556</v>
      </c>
      <c r="E265" s="3">
        <v>43586</v>
      </c>
      <c r="F265" s="3"/>
      <c r="G265">
        <v>6711</v>
      </c>
      <c r="H265">
        <v>7784.76</v>
      </c>
      <c r="I265" t="s">
        <v>11</v>
      </c>
    </row>
    <row r="266" spans="1:9" x14ac:dyDescent="0.2">
      <c r="A266" t="s">
        <v>18</v>
      </c>
      <c r="B266" t="s">
        <v>10</v>
      </c>
      <c r="C266" s="3">
        <v>43556</v>
      </c>
      <c r="D266" s="3">
        <v>43556</v>
      </c>
      <c r="E266" s="3">
        <v>43586</v>
      </c>
      <c r="F266" s="3"/>
      <c r="G266">
        <v>6711</v>
      </c>
      <c r="H266">
        <v>7784.76</v>
      </c>
      <c r="I266" t="s">
        <v>11</v>
      </c>
    </row>
    <row r="267" spans="1:9" x14ac:dyDescent="0.2">
      <c r="A267" t="s">
        <v>18</v>
      </c>
      <c r="B267" t="s">
        <v>10</v>
      </c>
      <c r="C267" s="3">
        <v>43556</v>
      </c>
      <c r="D267" s="3">
        <v>43556</v>
      </c>
      <c r="E267" s="3">
        <v>43586</v>
      </c>
      <c r="F267" s="3"/>
      <c r="G267">
        <v>7011</v>
      </c>
      <c r="H267">
        <v>8132.76</v>
      </c>
      <c r="I267" t="s">
        <v>11</v>
      </c>
    </row>
    <row r="268" spans="1:9" x14ac:dyDescent="0.2">
      <c r="A268" t="s">
        <v>18</v>
      </c>
      <c r="B268" t="s">
        <v>10</v>
      </c>
      <c r="C268" s="3">
        <v>43556</v>
      </c>
      <c r="D268" s="3">
        <v>43556</v>
      </c>
      <c r="E268" s="3">
        <v>43586</v>
      </c>
      <c r="F268" s="3"/>
      <c r="G268">
        <v>6711</v>
      </c>
      <c r="H268">
        <v>7784.76</v>
      </c>
      <c r="I268" t="s">
        <v>11</v>
      </c>
    </row>
    <row r="269" spans="1:9" x14ac:dyDescent="0.2">
      <c r="A269" t="s">
        <v>18</v>
      </c>
      <c r="B269" t="s">
        <v>10</v>
      </c>
      <c r="C269" s="3">
        <v>43556</v>
      </c>
      <c r="D269" s="3">
        <v>43556</v>
      </c>
      <c r="E269" s="3">
        <v>43586</v>
      </c>
      <c r="F269" s="3"/>
      <c r="G269">
        <v>8145</v>
      </c>
      <c r="H269">
        <v>9448.2000000000007</v>
      </c>
      <c r="I269" t="s">
        <v>11</v>
      </c>
    </row>
    <row r="270" spans="1:9" x14ac:dyDescent="0.2">
      <c r="A270" t="s">
        <v>18</v>
      </c>
      <c r="B270" t="s">
        <v>10</v>
      </c>
      <c r="C270" s="3">
        <v>43556</v>
      </c>
      <c r="D270" s="3">
        <v>43556</v>
      </c>
      <c r="E270" s="3">
        <v>43586</v>
      </c>
      <c r="F270" s="3"/>
      <c r="G270">
        <v>6709</v>
      </c>
      <c r="H270">
        <v>7782.44</v>
      </c>
      <c r="I270" t="s">
        <v>11</v>
      </c>
    </row>
    <row r="271" spans="1:9" x14ac:dyDescent="0.2">
      <c r="A271" t="s">
        <v>18</v>
      </c>
      <c r="B271" t="s">
        <v>10</v>
      </c>
      <c r="C271" s="3">
        <v>43556</v>
      </c>
      <c r="D271" s="3">
        <v>43556</v>
      </c>
      <c r="E271" s="3">
        <v>43586</v>
      </c>
      <c r="F271" s="3"/>
      <c r="G271">
        <v>7627</v>
      </c>
      <c r="H271">
        <v>8847.32</v>
      </c>
      <c r="I271" t="s">
        <v>11</v>
      </c>
    </row>
    <row r="272" spans="1:9" x14ac:dyDescent="0.2">
      <c r="A272" t="s">
        <v>18</v>
      </c>
      <c r="B272" t="s">
        <v>10</v>
      </c>
      <c r="C272" s="3">
        <v>43556</v>
      </c>
      <c r="D272" s="3">
        <v>43556</v>
      </c>
      <c r="E272" s="3">
        <v>43586</v>
      </c>
      <c r="F272" s="3"/>
      <c r="G272">
        <v>7144</v>
      </c>
      <c r="H272">
        <v>8287.0400000000009</v>
      </c>
      <c r="I272" t="s">
        <v>11</v>
      </c>
    </row>
    <row r="273" spans="1:9" x14ac:dyDescent="0.2">
      <c r="A273" t="s">
        <v>18</v>
      </c>
      <c r="B273" t="s">
        <v>10</v>
      </c>
      <c r="C273" s="3">
        <v>43556</v>
      </c>
      <c r="D273" s="3">
        <v>43556</v>
      </c>
      <c r="E273" s="3">
        <v>43586</v>
      </c>
      <c r="F273" s="3"/>
      <c r="G273">
        <v>7709</v>
      </c>
      <c r="H273">
        <v>8942.44</v>
      </c>
      <c r="I273" t="s">
        <v>11</v>
      </c>
    </row>
    <row r="274" spans="1:9" x14ac:dyDescent="0.2">
      <c r="A274" t="s">
        <v>18</v>
      </c>
      <c r="B274" t="s">
        <v>10</v>
      </c>
      <c r="C274" s="3">
        <v>43556</v>
      </c>
      <c r="D274" s="3">
        <v>43556</v>
      </c>
      <c r="E274" s="3">
        <v>43586</v>
      </c>
      <c r="F274" s="3"/>
      <c r="G274">
        <v>6600</v>
      </c>
      <c r="H274">
        <v>7656</v>
      </c>
      <c r="I274" t="s">
        <v>11</v>
      </c>
    </row>
    <row r="275" spans="1:9" x14ac:dyDescent="0.2">
      <c r="A275" t="s">
        <v>18</v>
      </c>
      <c r="B275" t="s">
        <v>10</v>
      </c>
      <c r="C275" s="3">
        <v>43556</v>
      </c>
      <c r="D275" s="3">
        <v>43556</v>
      </c>
      <c r="E275" s="3">
        <v>43586</v>
      </c>
      <c r="F275" s="3"/>
      <c r="G275">
        <v>6711</v>
      </c>
      <c r="H275">
        <v>7784.76</v>
      </c>
      <c r="I275" t="s">
        <v>11</v>
      </c>
    </row>
    <row r="276" spans="1:9" x14ac:dyDescent="0.2">
      <c r="A276" t="s">
        <v>18</v>
      </c>
      <c r="B276" t="s">
        <v>10</v>
      </c>
      <c r="C276" s="3">
        <v>43556</v>
      </c>
      <c r="D276" s="3">
        <v>43556</v>
      </c>
      <c r="E276" s="3">
        <v>43586</v>
      </c>
      <c r="F276" s="3"/>
      <c r="G276">
        <v>8409</v>
      </c>
      <c r="H276">
        <v>9754.44</v>
      </c>
      <c r="I276" t="s">
        <v>11</v>
      </c>
    </row>
    <row r="277" spans="1:9" x14ac:dyDescent="0.2">
      <c r="A277" t="s">
        <v>18</v>
      </c>
      <c r="B277" t="s">
        <v>10</v>
      </c>
      <c r="C277" s="3">
        <v>43556</v>
      </c>
      <c r="D277" s="3">
        <v>43556</v>
      </c>
      <c r="E277" s="3">
        <v>43586</v>
      </c>
      <c r="F277" s="3"/>
      <c r="G277">
        <v>7710</v>
      </c>
      <c r="H277">
        <v>8943.6</v>
      </c>
      <c r="I277" t="s">
        <v>11</v>
      </c>
    </row>
    <row r="278" spans="1:9" x14ac:dyDescent="0.2">
      <c r="A278" t="s">
        <v>18</v>
      </c>
      <c r="B278" t="s">
        <v>10</v>
      </c>
      <c r="C278" s="3">
        <v>43556</v>
      </c>
      <c r="D278" s="3">
        <v>43556</v>
      </c>
      <c r="E278" s="3">
        <v>43586</v>
      </c>
      <c r="F278" s="3"/>
      <c r="G278">
        <v>8209</v>
      </c>
      <c r="H278">
        <v>9522.44</v>
      </c>
      <c r="I278" t="s">
        <v>11</v>
      </c>
    </row>
    <row r="279" spans="1:9" x14ac:dyDescent="0.2">
      <c r="A279" t="s">
        <v>18</v>
      </c>
      <c r="B279" t="s">
        <v>10</v>
      </c>
      <c r="C279" s="3">
        <v>43556</v>
      </c>
      <c r="D279" s="3">
        <v>43556</v>
      </c>
      <c r="E279" s="3">
        <v>43586</v>
      </c>
      <c r="F279" s="3"/>
      <c r="G279">
        <v>7011</v>
      </c>
      <c r="H279">
        <v>8132.76</v>
      </c>
      <c r="I279" t="s">
        <v>11</v>
      </c>
    </row>
    <row r="280" spans="1:9" x14ac:dyDescent="0.2">
      <c r="A280" t="s">
        <v>18</v>
      </c>
      <c r="B280" t="s">
        <v>10</v>
      </c>
      <c r="C280" s="3">
        <v>43556</v>
      </c>
      <c r="D280" s="3">
        <v>43556</v>
      </c>
      <c r="E280" s="3">
        <v>43586</v>
      </c>
      <c r="F280" s="3"/>
      <c r="G280">
        <v>7491</v>
      </c>
      <c r="H280">
        <v>8689.56</v>
      </c>
      <c r="I280" t="s">
        <v>11</v>
      </c>
    </row>
    <row r="281" spans="1:9" x14ac:dyDescent="0.2">
      <c r="A281" t="s">
        <v>18</v>
      </c>
      <c r="B281" t="s">
        <v>10</v>
      </c>
      <c r="C281" s="3">
        <v>43556</v>
      </c>
      <c r="D281" s="3">
        <v>43556</v>
      </c>
      <c r="E281" s="3">
        <v>43586</v>
      </c>
      <c r="F281" s="3"/>
      <c r="G281">
        <v>7800</v>
      </c>
      <c r="H281">
        <v>9048</v>
      </c>
      <c r="I281" t="s">
        <v>11</v>
      </c>
    </row>
    <row r="282" spans="1:9" x14ac:dyDescent="0.2">
      <c r="A282" t="s">
        <v>18</v>
      </c>
      <c r="B282" t="s">
        <v>10</v>
      </c>
      <c r="C282" s="3">
        <v>43556</v>
      </c>
      <c r="D282" s="3">
        <v>43556</v>
      </c>
      <c r="E282" s="3">
        <v>43586</v>
      </c>
      <c r="F282" s="3"/>
      <c r="G282">
        <v>6957</v>
      </c>
      <c r="H282">
        <v>8070.12</v>
      </c>
      <c r="I282" t="s">
        <v>11</v>
      </c>
    </row>
    <row r="283" spans="1:9" x14ac:dyDescent="0.2">
      <c r="A283" t="s">
        <v>18</v>
      </c>
      <c r="B283" t="s">
        <v>10</v>
      </c>
      <c r="C283" s="3">
        <v>43556</v>
      </c>
      <c r="D283" s="3">
        <v>43556</v>
      </c>
      <c r="E283" s="3">
        <v>43586</v>
      </c>
      <c r="F283" s="3"/>
      <c r="G283">
        <v>6900</v>
      </c>
      <c r="H283">
        <v>8004</v>
      </c>
      <c r="I283" t="s">
        <v>11</v>
      </c>
    </row>
    <row r="284" spans="1:9" x14ac:dyDescent="0.2">
      <c r="A284" t="s">
        <v>18</v>
      </c>
      <c r="B284" t="s">
        <v>10</v>
      </c>
      <c r="C284" s="3">
        <v>43556</v>
      </c>
      <c r="D284" s="3">
        <v>43556</v>
      </c>
      <c r="E284" s="3">
        <v>43586</v>
      </c>
      <c r="F284" s="3"/>
      <c r="G284">
        <v>6975</v>
      </c>
      <c r="H284">
        <v>8091</v>
      </c>
      <c r="I284" t="s">
        <v>11</v>
      </c>
    </row>
    <row r="285" spans="1:9" x14ac:dyDescent="0.2">
      <c r="A285" t="s">
        <v>18</v>
      </c>
      <c r="B285" t="s">
        <v>10</v>
      </c>
      <c r="C285" s="3">
        <v>43556</v>
      </c>
      <c r="D285" s="3">
        <v>43556</v>
      </c>
      <c r="E285" s="3">
        <v>43586</v>
      </c>
      <c r="F285" s="3"/>
      <c r="G285">
        <v>7085</v>
      </c>
      <c r="H285">
        <v>8218.6</v>
      </c>
      <c r="I285" t="s">
        <v>11</v>
      </c>
    </row>
    <row r="286" spans="1:9" x14ac:dyDescent="0.2">
      <c r="A286" t="s">
        <v>18</v>
      </c>
      <c r="B286" t="s">
        <v>10</v>
      </c>
      <c r="C286" s="3">
        <v>43556</v>
      </c>
      <c r="D286" s="3">
        <v>43556</v>
      </c>
      <c r="E286" s="3">
        <v>43586</v>
      </c>
      <c r="F286" s="3"/>
      <c r="G286">
        <v>6957</v>
      </c>
      <c r="H286">
        <v>8070.12</v>
      </c>
      <c r="I286" t="s">
        <v>11</v>
      </c>
    </row>
    <row r="287" spans="1:9" x14ac:dyDescent="0.2">
      <c r="A287" t="s">
        <v>18</v>
      </c>
      <c r="B287" t="s">
        <v>10</v>
      </c>
      <c r="C287" s="3">
        <v>43556</v>
      </c>
      <c r="D287" s="3">
        <v>43556</v>
      </c>
      <c r="E287" s="3">
        <v>43586</v>
      </c>
      <c r="F287" s="3"/>
      <c r="G287">
        <v>6600</v>
      </c>
      <c r="H287">
        <v>7656</v>
      </c>
      <c r="I287" t="s">
        <v>11</v>
      </c>
    </row>
    <row r="288" spans="1:9" x14ac:dyDescent="0.2">
      <c r="A288" t="s">
        <v>18</v>
      </c>
      <c r="B288" t="s">
        <v>10</v>
      </c>
      <c r="C288" s="3">
        <v>43556</v>
      </c>
      <c r="D288" s="3">
        <v>43556</v>
      </c>
      <c r="E288" s="3">
        <v>43586</v>
      </c>
      <c r="F288" s="3"/>
      <c r="G288">
        <v>7099</v>
      </c>
      <c r="H288">
        <v>8234.84</v>
      </c>
      <c r="I288" t="s">
        <v>11</v>
      </c>
    </row>
    <row r="289" spans="1:9" x14ac:dyDescent="0.2">
      <c r="A289" t="s">
        <v>18</v>
      </c>
      <c r="B289" t="s">
        <v>10</v>
      </c>
      <c r="C289" s="3">
        <v>43556</v>
      </c>
      <c r="D289" s="3">
        <v>43556</v>
      </c>
      <c r="E289" s="3">
        <v>43586</v>
      </c>
      <c r="F289" s="3"/>
      <c r="G289">
        <v>6600</v>
      </c>
      <c r="H289">
        <v>7656</v>
      </c>
      <c r="I289" t="s">
        <v>11</v>
      </c>
    </row>
    <row r="290" spans="1:9" x14ac:dyDescent="0.2">
      <c r="A290" t="s">
        <v>18</v>
      </c>
      <c r="B290" t="s">
        <v>10</v>
      </c>
      <c r="C290" s="3">
        <v>43556</v>
      </c>
      <c r="D290" s="3">
        <v>43556</v>
      </c>
      <c r="E290" s="3">
        <v>43586</v>
      </c>
      <c r="F290" s="3"/>
      <c r="G290">
        <v>7448</v>
      </c>
      <c r="H290">
        <v>8639.68</v>
      </c>
      <c r="I290" t="s">
        <v>11</v>
      </c>
    </row>
    <row r="291" spans="1:9" x14ac:dyDescent="0.2">
      <c r="A291" t="s">
        <v>18</v>
      </c>
      <c r="B291" t="s">
        <v>10</v>
      </c>
      <c r="C291" s="3">
        <v>43556</v>
      </c>
      <c r="D291" s="3">
        <v>43556</v>
      </c>
      <c r="E291" s="3">
        <v>43586</v>
      </c>
      <c r="F291" s="3"/>
      <c r="G291">
        <v>6900</v>
      </c>
      <c r="H291">
        <v>8004</v>
      </c>
      <c r="I291" t="s">
        <v>11</v>
      </c>
    </row>
    <row r="292" spans="1:9" x14ac:dyDescent="0.2">
      <c r="A292" t="s">
        <v>32</v>
      </c>
      <c r="B292" t="s">
        <v>10</v>
      </c>
      <c r="C292" s="3">
        <v>43552</v>
      </c>
      <c r="D292" s="3">
        <v>43552</v>
      </c>
      <c r="E292" s="3">
        <v>43567</v>
      </c>
      <c r="F292" s="3"/>
      <c r="G292">
        <v>25937.8</v>
      </c>
      <c r="H292">
        <v>30087.8</v>
      </c>
      <c r="I292" t="s">
        <v>11</v>
      </c>
    </row>
    <row r="293" spans="1:9" x14ac:dyDescent="0.2">
      <c r="A293" t="s">
        <v>18</v>
      </c>
      <c r="B293" t="s">
        <v>10</v>
      </c>
      <c r="C293" s="3">
        <v>43550</v>
      </c>
      <c r="D293" s="3">
        <v>43550</v>
      </c>
      <c r="E293" s="3">
        <v>43580</v>
      </c>
      <c r="F293" s="3"/>
      <c r="G293">
        <v>39946</v>
      </c>
      <c r="H293">
        <v>46337.3</v>
      </c>
      <c r="I293" t="s">
        <v>11</v>
      </c>
    </row>
    <row r="294" spans="1:9" x14ac:dyDescent="0.2">
      <c r="A294" t="s">
        <v>32</v>
      </c>
      <c r="B294" t="s">
        <v>10</v>
      </c>
      <c r="C294" s="3">
        <v>43550</v>
      </c>
      <c r="D294" s="3">
        <v>43550</v>
      </c>
      <c r="E294" s="3">
        <v>43565</v>
      </c>
      <c r="F294" s="3"/>
      <c r="G294">
        <v>1990.56</v>
      </c>
      <c r="H294">
        <v>2309.0500000000002</v>
      </c>
      <c r="I294" t="s">
        <v>11</v>
      </c>
    </row>
    <row r="295" spans="1:9" x14ac:dyDescent="0.2">
      <c r="A295" t="s">
        <v>32</v>
      </c>
      <c r="B295" t="s">
        <v>10</v>
      </c>
      <c r="C295" s="3">
        <v>43549</v>
      </c>
      <c r="D295" s="3">
        <v>43549</v>
      </c>
      <c r="E295" s="3">
        <v>43564</v>
      </c>
      <c r="F295" s="3"/>
      <c r="G295">
        <v>3170.16</v>
      </c>
      <c r="H295">
        <v>3677.39</v>
      </c>
      <c r="I295" t="s">
        <v>11</v>
      </c>
    </row>
    <row r="296" spans="1:9" x14ac:dyDescent="0.2">
      <c r="A296" t="s">
        <v>36</v>
      </c>
      <c r="B296" t="s">
        <v>10</v>
      </c>
      <c r="C296" s="3">
        <v>43549</v>
      </c>
      <c r="D296" s="3">
        <v>43546</v>
      </c>
      <c r="E296" s="3">
        <v>43564</v>
      </c>
      <c r="F296" s="3"/>
      <c r="G296">
        <v>5612</v>
      </c>
      <c r="H296">
        <v>6509.92</v>
      </c>
      <c r="I296" t="s">
        <v>11</v>
      </c>
    </row>
    <row r="297" spans="1:9" x14ac:dyDescent="0.2">
      <c r="A297" t="s">
        <v>32</v>
      </c>
      <c r="B297" t="s">
        <v>10</v>
      </c>
      <c r="C297" s="3">
        <v>43546</v>
      </c>
      <c r="D297" s="3">
        <v>43546</v>
      </c>
      <c r="E297" s="3">
        <v>43561</v>
      </c>
      <c r="F297" s="3"/>
      <c r="G297">
        <v>2666.31</v>
      </c>
      <c r="H297">
        <v>3092.92</v>
      </c>
      <c r="I297" t="s">
        <v>11</v>
      </c>
    </row>
    <row r="298" spans="1:9" x14ac:dyDescent="0.2">
      <c r="A298" t="s">
        <v>19</v>
      </c>
      <c r="B298" t="s">
        <v>10</v>
      </c>
      <c r="C298" s="3">
        <v>43543</v>
      </c>
      <c r="D298" s="3">
        <v>43543</v>
      </c>
      <c r="E298" s="3">
        <v>43558</v>
      </c>
      <c r="F298" s="3"/>
      <c r="G298">
        <v>14448</v>
      </c>
      <c r="H298">
        <v>16759.599999999999</v>
      </c>
      <c r="I298" t="s">
        <v>11</v>
      </c>
    </row>
    <row r="299" spans="1:9" x14ac:dyDescent="0.2">
      <c r="A299" t="s">
        <v>19</v>
      </c>
      <c r="B299" t="s">
        <v>10</v>
      </c>
      <c r="C299" s="3">
        <v>43543</v>
      </c>
      <c r="D299" s="3">
        <v>43543</v>
      </c>
      <c r="E299" s="3">
        <v>43558</v>
      </c>
      <c r="F299" s="3"/>
      <c r="G299">
        <v>28793</v>
      </c>
      <c r="H299">
        <v>33399.800000000003</v>
      </c>
      <c r="I299" t="s">
        <v>11</v>
      </c>
    </row>
    <row r="300" spans="1:9" x14ac:dyDescent="0.2">
      <c r="A300" t="s">
        <v>19</v>
      </c>
      <c r="B300" t="s">
        <v>10</v>
      </c>
      <c r="C300" s="3">
        <v>43543</v>
      </c>
      <c r="D300" s="3">
        <v>43538</v>
      </c>
      <c r="E300" s="3">
        <v>43558</v>
      </c>
      <c r="F300" s="3"/>
      <c r="G300">
        <v>7167</v>
      </c>
      <c r="H300">
        <v>8313.7199999999993</v>
      </c>
      <c r="I300" t="s">
        <v>11</v>
      </c>
    </row>
    <row r="301" spans="1:9" x14ac:dyDescent="0.2">
      <c r="A301" t="s">
        <v>19</v>
      </c>
      <c r="B301" t="s">
        <v>10</v>
      </c>
      <c r="C301" s="3">
        <v>43543</v>
      </c>
      <c r="D301" s="3">
        <v>43538</v>
      </c>
      <c r="E301" s="3">
        <v>43558</v>
      </c>
      <c r="F301" s="3"/>
      <c r="G301">
        <v>22392</v>
      </c>
      <c r="H301">
        <v>25974.7</v>
      </c>
      <c r="I301" t="s">
        <v>11</v>
      </c>
    </row>
    <row r="302" spans="1:9" x14ac:dyDescent="0.2">
      <c r="A302" t="s">
        <v>19</v>
      </c>
      <c r="B302" t="s">
        <v>10</v>
      </c>
      <c r="C302" s="3">
        <v>43543</v>
      </c>
      <c r="D302" s="3">
        <v>43543</v>
      </c>
      <c r="E302" s="3">
        <v>43558</v>
      </c>
      <c r="F302" s="3"/>
      <c r="G302">
        <v>13815</v>
      </c>
      <c r="H302">
        <v>16025.4</v>
      </c>
      <c r="I302" t="s">
        <v>11</v>
      </c>
    </row>
    <row r="303" spans="1:9" x14ac:dyDescent="0.2">
      <c r="A303" t="s">
        <v>19</v>
      </c>
      <c r="B303" t="s">
        <v>10</v>
      </c>
      <c r="C303" s="3">
        <v>43543</v>
      </c>
      <c r="D303" s="3">
        <v>43543</v>
      </c>
      <c r="E303" s="3">
        <v>43558</v>
      </c>
      <c r="F303" s="3"/>
      <c r="G303">
        <v>6140</v>
      </c>
      <c r="H303">
        <v>7122.4</v>
      </c>
      <c r="I303" t="s">
        <v>11</v>
      </c>
    </row>
    <row r="304" spans="1:9" x14ac:dyDescent="0.2">
      <c r="A304" t="s">
        <v>32</v>
      </c>
      <c r="B304" t="s">
        <v>10</v>
      </c>
      <c r="C304" s="3">
        <v>43543</v>
      </c>
      <c r="D304" s="3">
        <v>43543</v>
      </c>
      <c r="E304" s="3">
        <v>43558</v>
      </c>
      <c r="F304" s="3"/>
      <c r="G304">
        <v>7592.76</v>
      </c>
      <c r="H304">
        <v>8807.6</v>
      </c>
      <c r="I304" t="s">
        <v>11</v>
      </c>
    </row>
    <row r="305" spans="1:9" x14ac:dyDescent="0.2">
      <c r="A305" t="s">
        <v>19</v>
      </c>
      <c r="B305" t="s">
        <v>10</v>
      </c>
      <c r="C305" s="3">
        <v>43543</v>
      </c>
      <c r="D305" s="3">
        <v>43543</v>
      </c>
      <c r="E305" s="3">
        <v>43558</v>
      </c>
      <c r="F305" s="3"/>
      <c r="G305">
        <v>13841</v>
      </c>
      <c r="H305">
        <v>16055.5</v>
      </c>
      <c r="I305" t="s">
        <v>11</v>
      </c>
    </row>
    <row r="306" spans="1:9" x14ac:dyDescent="0.2">
      <c r="A306" t="s">
        <v>19</v>
      </c>
      <c r="B306" t="s">
        <v>10</v>
      </c>
      <c r="C306" s="3">
        <v>43543</v>
      </c>
      <c r="D306" s="3">
        <v>43543</v>
      </c>
      <c r="E306" s="3">
        <v>43558</v>
      </c>
      <c r="F306" s="3"/>
      <c r="G306">
        <v>27546</v>
      </c>
      <c r="H306">
        <v>31953.3</v>
      </c>
      <c r="I306" t="s">
        <v>11</v>
      </c>
    </row>
    <row r="307" spans="1:9" x14ac:dyDescent="0.2">
      <c r="A307" t="s">
        <v>26</v>
      </c>
      <c r="B307" t="s">
        <v>10</v>
      </c>
      <c r="C307" s="3">
        <v>43538</v>
      </c>
      <c r="D307" s="3">
        <v>43538</v>
      </c>
      <c r="E307" s="3">
        <v>43545</v>
      </c>
      <c r="F307" s="3"/>
      <c r="G307">
        <v>525.23</v>
      </c>
      <c r="H307">
        <v>609.27</v>
      </c>
      <c r="I307" t="s">
        <v>11</v>
      </c>
    </row>
    <row r="308" spans="1:9" x14ac:dyDescent="0.2">
      <c r="A308" t="s">
        <v>21</v>
      </c>
      <c r="B308" t="s">
        <v>10</v>
      </c>
      <c r="C308" s="3">
        <v>43538</v>
      </c>
      <c r="D308" s="3">
        <v>43538</v>
      </c>
      <c r="E308" s="3">
        <v>43545</v>
      </c>
      <c r="F308" s="3"/>
      <c r="G308">
        <v>10400</v>
      </c>
      <c r="H308">
        <v>12064</v>
      </c>
      <c r="I308" t="s">
        <v>11</v>
      </c>
    </row>
    <row r="309" spans="1:9" x14ac:dyDescent="0.2">
      <c r="A309" t="s">
        <v>13</v>
      </c>
      <c r="B309" t="s">
        <v>10</v>
      </c>
      <c r="C309" s="3">
        <v>43537</v>
      </c>
      <c r="D309" s="3">
        <v>43537</v>
      </c>
      <c r="E309" s="3">
        <v>43567</v>
      </c>
      <c r="F309" s="3"/>
      <c r="G309">
        <v>3546</v>
      </c>
      <c r="H309">
        <v>4113.3599999999997</v>
      </c>
      <c r="I309" t="s">
        <v>11</v>
      </c>
    </row>
    <row r="310" spans="1:9" x14ac:dyDescent="0.2">
      <c r="A310" t="s">
        <v>32</v>
      </c>
      <c r="B310" t="s">
        <v>10</v>
      </c>
      <c r="C310" s="3">
        <v>43537</v>
      </c>
      <c r="D310" s="3">
        <v>43537</v>
      </c>
      <c r="E310" s="3">
        <v>43552</v>
      </c>
      <c r="F310" s="3"/>
      <c r="G310">
        <v>18351.900000000001</v>
      </c>
      <c r="H310">
        <v>21288.2</v>
      </c>
      <c r="I310" t="s">
        <v>11</v>
      </c>
    </row>
    <row r="311" spans="1:9" x14ac:dyDescent="0.2">
      <c r="A311" t="s">
        <v>32</v>
      </c>
      <c r="B311" t="s">
        <v>10</v>
      </c>
      <c r="C311" s="3">
        <v>43536</v>
      </c>
      <c r="D311" s="3">
        <v>43536</v>
      </c>
      <c r="E311" s="3">
        <v>43551</v>
      </c>
      <c r="F311" s="3"/>
      <c r="G311">
        <v>7144.32</v>
      </c>
      <c r="H311">
        <v>8287.41</v>
      </c>
      <c r="I311" t="s">
        <v>11</v>
      </c>
    </row>
    <row r="312" spans="1:9" x14ac:dyDescent="0.2">
      <c r="A312" t="s">
        <v>20</v>
      </c>
      <c r="B312" t="s">
        <v>10</v>
      </c>
      <c r="C312" s="3">
        <v>43535</v>
      </c>
      <c r="D312" s="3">
        <v>43535</v>
      </c>
      <c r="E312" s="3">
        <v>43580</v>
      </c>
      <c r="F312" s="3"/>
      <c r="G312">
        <v>29923</v>
      </c>
      <c r="H312">
        <v>34710.6</v>
      </c>
      <c r="I312" t="s">
        <v>11</v>
      </c>
    </row>
    <row r="313" spans="1:9" x14ac:dyDescent="0.2">
      <c r="A313" t="s">
        <v>20</v>
      </c>
      <c r="B313" t="s">
        <v>10</v>
      </c>
      <c r="C313" s="3">
        <v>43535</v>
      </c>
      <c r="D313" s="3">
        <v>43535</v>
      </c>
      <c r="E313" s="3">
        <v>43580</v>
      </c>
      <c r="F313" s="3"/>
      <c r="G313">
        <v>28391</v>
      </c>
      <c r="H313">
        <v>32933.5</v>
      </c>
      <c r="I313" t="s">
        <v>11</v>
      </c>
    </row>
    <row r="314" spans="1:9" x14ac:dyDescent="0.2">
      <c r="A314" t="s">
        <v>20</v>
      </c>
      <c r="B314" t="s">
        <v>10</v>
      </c>
      <c r="C314" s="3">
        <v>43535</v>
      </c>
      <c r="D314" s="3">
        <v>43535</v>
      </c>
      <c r="E314" s="3">
        <v>43580</v>
      </c>
      <c r="F314" s="3"/>
      <c r="G314">
        <v>28391</v>
      </c>
      <c r="H314">
        <v>32933.5</v>
      </c>
      <c r="I314" t="s">
        <v>11</v>
      </c>
    </row>
    <row r="315" spans="1:9" x14ac:dyDescent="0.2">
      <c r="A315" t="s">
        <v>32</v>
      </c>
      <c r="B315" t="s">
        <v>10</v>
      </c>
      <c r="C315" s="3">
        <v>43532</v>
      </c>
      <c r="D315" s="3">
        <v>43532</v>
      </c>
      <c r="E315" s="3">
        <v>43547</v>
      </c>
      <c r="F315" s="3"/>
      <c r="G315">
        <v>10924.6</v>
      </c>
      <c r="H315">
        <v>12672.6</v>
      </c>
      <c r="I315" t="s">
        <v>11</v>
      </c>
    </row>
    <row r="316" spans="1:9" x14ac:dyDescent="0.2">
      <c r="A316" t="s">
        <v>18</v>
      </c>
      <c r="B316" t="s">
        <v>10</v>
      </c>
      <c r="C316" s="3">
        <v>43531</v>
      </c>
      <c r="D316" s="3">
        <v>43531</v>
      </c>
      <c r="E316" s="3">
        <v>43561</v>
      </c>
      <c r="F316" s="3"/>
      <c r="G316">
        <v>19896</v>
      </c>
      <c r="H316">
        <v>23079.3</v>
      </c>
      <c r="I316" t="s">
        <v>11</v>
      </c>
    </row>
    <row r="317" spans="1:9" x14ac:dyDescent="0.2">
      <c r="A317" t="s">
        <v>20</v>
      </c>
      <c r="B317" t="s">
        <v>10</v>
      </c>
      <c r="C317" s="3">
        <v>43531</v>
      </c>
      <c r="D317" s="3">
        <v>43531</v>
      </c>
      <c r="E317" s="3">
        <v>43576</v>
      </c>
      <c r="F317" s="3"/>
      <c r="G317">
        <v>11776</v>
      </c>
      <c r="H317">
        <v>13660.1</v>
      </c>
      <c r="I317" t="s">
        <v>11</v>
      </c>
    </row>
    <row r="318" spans="1:9" x14ac:dyDescent="0.2">
      <c r="A318" t="s">
        <v>18</v>
      </c>
      <c r="B318" t="s">
        <v>10</v>
      </c>
      <c r="C318" s="3">
        <v>43530</v>
      </c>
      <c r="D318" s="3">
        <v>43530</v>
      </c>
      <c r="E318" s="3">
        <v>43560</v>
      </c>
      <c r="F318" s="3"/>
      <c r="G318">
        <v>16532</v>
      </c>
      <c r="H318">
        <v>19177.099999999999</v>
      </c>
      <c r="I318" t="s">
        <v>11</v>
      </c>
    </row>
    <row r="319" spans="1:9" x14ac:dyDescent="0.2">
      <c r="A319" t="s">
        <v>19</v>
      </c>
      <c r="B319" t="s">
        <v>10</v>
      </c>
      <c r="C319" s="3">
        <v>43529</v>
      </c>
      <c r="D319" s="3">
        <v>43529</v>
      </c>
      <c r="E319" s="3">
        <v>43544</v>
      </c>
      <c r="F319" s="3"/>
      <c r="G319">
        <v>818</v>
      </c>
      <c r="H319">
        <v>948.88</v>
      </c>
      <c r="I319" t="s">
        <v>11</v>
      </c>
    </row>
    <row r="320" spans="1:9" x14ac:dyDescent="0.2">
      <c r="A320" t="s">
        <v>19</v>
      </c>
      <c r="B320" t="s">
        <v>10</v>
      </c>
      <c r="C320" s="3">
        <v>43525</v>
      </c>
      <c r="D320" s="3">
        <v>43525</v>
      </c>
      <c r="E320" s="3">
        <v>43540</v>
      </c>
      <c r="F320" s="3"/>
      <c r="G320">
        <v>34561</v>
      </c>
      <c r="H320">
        <v>40090.699999999997</v>
      </c>
      <c r="I320" t="s">
        <v>11</v>
      </c>
    </row>
    <row r="321" spans="1:9" x14ac:dyDescent="0.2">
      <c r="A321" t="s">
        <v>19</v>
      </c>
      <c r="B321" t="s">
        <v>10</v>
      </c>
      <c r="C321" s="3">
        <v>43525</v>
      </c>
      <c r="D321" s="3">
        <v>43525</v>
      </c>
      <c r="E321" s="3">
        <v>43540</v>
      </c>
      <c r="F321" s="3"/>
      <c r="G321">
        <v>12287</v>
      </c>
      <c r="H321">
        <v>14252.9</v>
      </c>
      <c r="I321" t="s">
        <v>11</v>
      </c>
    </row>
    <row r="322" spans="1:9" x14ac:dyDescent="0.2">
      <c r="A322" t="s">
        <v>19</v>
      </c>
      <c r="B322" t="s">
        <v>10</v>
      </c>
      <c r="C322" s="3">
        <v>43525</v>
      </c>
      <c r="D322" s="3">
        <v>43525</v>
      </c>
      <c r="E322" s="3">
        <v>43540</v>
      </c>
      <c r="F322" s="3"/>
      <c r="G322">
        <v>39392</v>
      </c>
      <c r="H322">
        <v>45694.7</v>
      </c>
      <c r="I322" t="s">
        <v>11</v>
      </c>
    </row>
    <row r="323" spans="1:9" x14ac:dyDescent="0.2">
      <c r="A323" t="s">
        <v>19</v>
      </c>
      <c r="B323" t="s">
        <v>10</v>
      </c>
      <c r="C323" s="3">
        <v>43525</v>
      </c>
      <c r="D323" s="3">
        <v>43525</v>
      </c>
      <c r="E323" s="3">
        <v>43540</v>
      </c>
      <c r="F323" s="3"/>
      <c r="G323">
        <v>7571</v>
      </c>
      <c r="H323">
        <v>8782.36</v>
      </c>
      <c r="I323" t="s">
        <v>11</v>
      </c>
    </row>
    <row r="324" spans="1:9" x14ac:dyDescent="0.2">
      <c r="A324" t="s">
        <v>19</v>
      </c>
      <c r="B324" t="s">
        <v>10</v>
      </c>
      <c r="C324" s="3">
        <v>43525</v>
      </c>
      <c r="D324" s="3">
        <v>43503</v>
      </c>
      <c r="E324" s="3">
        <v>43540</v>
      </c>
      <c r="F324" s="3"/>
      <c r="G324">
        <v>39698</v>
      </c>
      <c r="H324">
        <v>46049.599999999999</v>
      </c>
      <c r="I324" t="s">
        <v>11</v>
      </c>
    </row>
    <row r="325" spans="1:9" x14ac:dyDescent="0.2">
      <c r="A325" t="s">
        <v>19</v>
      </c>
      <c r="B325" t="s">
        <v>10</v>
      </c>
      <c r="C325" s="3">
        <v>43525</v>
      </c>
      <c r="D325" s="3">
        <v>43525</v>
      </c>
      <c r="E325" s="3">
        <v>43540</v>
      </c>
      <c r="F325" s="3"/>
      <c r="G325">
        <v>14472</v>
      </c>
      <c r="H325">
        <v>16787.5</v>
      </c>
      <c r="I325" t="s">
        <v>11</v>
      </c>
    </row>
    <row r="326" spans="1:9" x14ac:dyDescent="0.2">
      <c r="A326" t="s">
        <v>19</v>
      </c>
      <c r="B326" t="s">
        <v>10</v>
      </c>
      <c r="C326" s="3">
        <v>43525</v>
      </c>
      <c r="D326" s="3">
        <v>43525</v>
      </c>
      <c r="E326" s="3">
        <v>43540</v>
      </c>
      <c r="F326" s="3"/>
      <c r="G326">
        <v>27522</v>
      </c>
      <c r="H326">
        <v>31925.5</v>
      </c>
      <c r="I326" t="s">
        <v>11</v>
      </c>
    </row>
    <row r="327" spans="1:9" x14ac:dyDescent="0.2">
      <c r="A327" t="s">
        <v>19</v>
      </c>
      <c r="B327" t="s">
        <v>10</v>
      </c>
      <c r="C327" s="3">
        <v>43525</v>
      </c>
      <c r="D327" s="3">
        <v>43521</v>
      </c>
      <c r="E327" s="3">
        <v>43540</v>
      </c>
      <c r="F327" s="3"/>
      <c r="G327">
        <v>19997</v>
      </c>
      <c r="H327">
        <v>23196.5</v>
      </c>
      <c r="I327" t="s">
        <v>11</v>
      </c>
    </row>
    <row r="328" spans="1:9" x14ac:dyDescent="0.2">
      <c r="A328" t="s">
        <v>19</v>
      </c>
      <c r="B328" t="s">
        <v>10</v>
      </c>
      <c r="C328" s="3">
        <v>43525</v>
      </c>
      <c r="D328" s="3">
        <v>43525</v>
      </c>
      <c r="E328" s="3">
        <v>43540</v>
      </c>
      <c r="F328" s="3"/>
      <c r="G328">
        <v>18273</v>
      </c>
      <c r="H328">
        <v>21196.6</v>
      </c>
      <c r="I328" t="s">
        <v>11</v>
      </c>
    </row>
    <row r="329" spans="1:9" x14ac:dyDescent="0.2">
      <c r="A329" t="s">
        <v>19</v>
      </c>
      <c r="B329" t="s">
        <v>10</v>
      </c>
      <c r="C329" s="3">
        <v>43525</v>
      </c>
      <c r="D329" s="3">
        <v>43525</v>
      </c>
      <c r="E329" s="3">
        <v>43540</v>
      </c>
      <c r="F329" s="3"/>
      <c r="G329">
        <v>11911</v>
      </c>
      <c r="H329">
        <v>13816.7</v>
      </c>
      <c r="I329" t="s">
        <v>11</v>
      </c>
    </row>
    <row r="330" spans="1:9" x14ac:dyDescent="0.2">
      <c r="A330" t="s">
        <v>19</v>
      </c>
      <c r="B330" t="s">
        <v>10</v>
      </c>
      <c r="C330" s="3">
        <v>43525</v>
      </c>
      <c r="D330" s="3">
        <v>43521</v>
      </c>
      <c r="E330" s="3">
        <v>43540</v>
      </c>
      <c r="F330" s="3"/>
      <c r="G330">
        <v>42440</v>
      </c>
      <c r="H330">
        <v>49230.400000000001</v>
      </c>
      <c r="I330" t="s">
        <v>11</v>
      </c>
    </row>
    <row r="331" spans="1:9" x14ac:dyDescent="0.2">
      <c r="A331" t="s">
        <v>13</v>
      </c>
      <c r="B331" t="s">
        <v>10</v>
      </c>
      <c r="C331" s="3">
        <v>43525</v>
      </c>
      <c r="D331" s="3">
        <v>43525</v>
      </c>
      <c r="E331" s="3">
        <v>43555</v>
      </c>
      <c r="F331" s="3"/>
      <c r="G331">
        <v>449</v>
      </c>
      <c r="H331">
        <v>520.84</v>
      </c>
      <c r="I331" t="s">
        <v>11</v>
      </c>
    </row>
    <row r="332" spans="1:9" x14ac:dyDescent="0.2">
      <c r="A332" t="s">
        <v>13</v>
      </c>
      <c r="B332" t="s">
        <v>10</v>
      </c>
      <c r="C332" s="3">
        <v>43524</v>
      </c>
      <c r="D332" s="3">
        <v>43524</v>
      </c>
      <c r="E332" s="3">
        <v>43554</v>
      </c>
      <c r="F332" s="3"/>
      <c r="G332">
        <v>14566</v>
      </c>
      <c r="H332">
        <v>16896.5</v>
      </c>
      <c r="I332" t="s">
        <v>11</v>
      </c>
    </row>
    <row r="333" spans="1:9" x14ac:dyDescent="0.2">
      <c r="A333" t="s">
        <v>26</v>
      </c>
      <c r="B333" t="s">
        <v>10</v>
      </c>
      <c r="C333" s="3">
        <v>43523</v>
      </c>
      <c r="D333" s="3">
        <v>43523</v>
      </c>
      <c r="E333" s="3">
        <v>43530</v>
      </c>
      <c r="F333" s="3"/>
      <c r="G333">
        <v>1477</v>
      </c>
      <c r="H333">
        <v>1713.32</v>
      </c>
      <c r="I333" t="s">
        <v>11</v>
      </c>
    </row>
    <row r="334" spans="1:9" x14ac:dyDescent="0.2">
      <c r="A334" t="s">
        <v>32</v>
      </c>
      <c r="B334" t="s">
        <v>10</v>
      </c>
      <c r="C334" s="3">
        <v>43523</v>
      </c>
      <c r="D334" s="3">
        <v>43523</v>
      </c>
      <c r="E334" s="3">
        <v>43538</v>
      </c>
      <c r="F334" s="3"/>
      <c r="G334">
        <v>43230.3</v>
      </c>
      <c r="H334">
        <v>50147.1</v>
      </c>
      <c r="I334" t="s">
        <v>11</v>
      </c>
    </row>
    <row r="335" spans="1:9" x14ac:dyDescent="0.2">
      <c r="A335" t="s">
        <v>18</v>
      </c>
      <c r="B335" t="s">
        <v>10</v>
      </c>
      <c r="C335" s="3">
        <v>43523</v>
      </c>
      <c r="D335" s="3">
        <v>43523</v>
      </c>
      <c r="E335" s="3">
        <v>43553</v>
      </c>
      <c r="F335" s="3"/>
      <c r="G335">
        <v>1920</v>
      </c>
      <c r="H335">
        <v>2227.1999999999998</v>
      </c>
      <c r="I335" t="s">
        <v>11</v>
      </c>
    </row>
    <row r="336" spans="1:9" x14ac:dyDescent="0.2">
      <c r="A336" t="s">
        <v>23</v>
      </c>
      <c r="B336" t="s">
        <v>10</v>
      </c>
      <c r="C336" s="3">
        <v>43522</v>
      </c>
      <c r="D336" s="3">
        <v>43522</v>
      </c>
      <c r="E336" s="3">
        <v>43582</v>
      </c>
      <c r="F336" s="3"/>
      <c r="G336">
        <v>4144</v>
      </c>
      <c r="H336">
        <v>4807.04</v>
      </c>
      <c r="I336" t="s">
        <v>11</v>
      </c>
    </row>
    <row r="337" spans="1:9" x14ac:dyDescent="0.2">
      <c r="A337" t="s">
        <v>32</v>
      </c>
      <c r="B337" t="s">
        <v>10</v>
      </c>
      <c r="C337" s="3">
        <v>43518</v>
      </c>
      <c r="D337" s="3">
        <v>43518</v>
      </c>
      <c r="E337" s="3">
        <v>43533</v>
      </c>
      <c r="F337" s="3"/>
      <c r="G337">
        <v>3855.18</v>
      </c>
      <c r="H337">
        <v>4472.01</v>
      </c>
      <c r="I337" t="s">
        <v>11</v>
      </c>
    </row>
    <row r="338" spans="1:9" x14ac:dyDescent="0.2">
      <c r="A338" t="s">
        <v>32</v>
      </c>
      <c r="B338" t="s">
        <v>10</v>
      </c>
      <c r="C338" s="3">
        <v>43518</v>
      </c>
      <c r="D338" s="3">
        <v>43518</v>
      </c>
      <c r="E338" s="3">
        <v>43533</v>
      </c>
      <c r="F338" s="3"/>
      <c r="G338">
        <v>1956.36</v>
      </c>
      <c r="H338">
        <v>2269.38</v>
      </c>
      <c r="I338" t="s">
        <v>11</v>
      </c>
    </row>
    <row r="339" spans="1:9" x14ac:dyDescent="0.2">
      <c r="A339" t="s">
        <v>32</v>
      </c>
      <c r="B339" t="s">
        <v>10</v>
      </c>
      <c r="C339" s="3">
        <v>43518</v>
      </c>
      <c r="D339" s="3">
        <v>43518</v>
      </c>
      <c r="E339" s="3">
        <v>43533</v>
      </c>
      <c r="F339" s="3"/>
      <c r="G339">
        <v>2761.92</v>
      </c>
      <c r="H339">
        <v>3203.83</v>
      </c>
      <c r="I339" t="s">
        <v>11</v>
      </c>
    </row>
    <row r="340" spans="1:9" x14ac:dyDescent="0.2">
      <c r="A340" t="s">
        <v>32</v>
      </c>
      <c r="B340" t="s">
        <v>10</v>
      </c>
      <c r="C340" s="3">
        <v>43518</v>
      </c>
      <c r="D340" s="3">
        <v>43518</v>
      </c>
      <c r="E340" s="3">
        <v>43533</v>
      </c>
      <c r="F340" s="3"/>
      <c r="G340">
        <v>3912.72</v>
      </c>
      <c r="H340">
        <v>4538.76</v>
      </c>
      <c r="I340" t="s">
        <v>11</v>
      </c>
    </row>
    <row r="341" spans="1:9" x14ac:dyDescent="0.2">
      <c r="A341" t="s">
        <v>32</v>
      </c>
      <c r="B341" t="s">
        <v>10</v>
      </c>
      <c r="C341" s="3">
        <v>43518</v>
      </c>
      <c r="D341" s="3">
        <v>43518</v>
      </c>
      <c r="E341" s="3">
        <v>43533</v>
      </c>
      <c r="F341" s="3"/>
      <c r="G341">
        <v>1956.36</v>
      </c>
      <c r="H341">
        <v>2269.38</v>
      </c>
      <c r="I341" t="s">
        <v>11</v>
      </c>
    </row>
    <row r="342" spans="1:9" x14ac:dyDescent="0.2">
      <c r="A342" t="s">
        <v>32</v>
      </c>
      <c r="B342" t="s">
        <v>10</v>
      </c>
      <c r="C342" s="3">
        <v>43518</v>
      </c>
      <c r="D342" s="3">
        <v>43518</v>
      </c>
      <c r="E342" s="3">
        <v>43533</v>
      </c>
      <c r="F342" s="3"/>
      <c r="G342">
        <v>8285.76</v>
      </c>
      <c r="H342">
        <v>9611.48</v>
      </c>
      <c r="I342" t="s">
        <v>11</v>
      </c>
    </row>
    <row r="343" spans="1:9" x14ac:dyDescent="0.2">
      <c r="A343" t="s">
        <v>32</v>
      </c>
      <c r="B343" t="s">
        <v>10</v>
      </c>
      <c r="C343" s="3">
        <v>43518</v>
      </c>
      <c r="D343" s="3">
        <v>43518</v>
      </c>
      <c r="E343" s="3">
        <v>43533</v>
      </c>
      <c r="F343" s="3"/>
      <c r="G343">
        <v>13809.6</v>
      </c>
      <c r="H343">
        <v>16019.1</v>
      </c>
      <c r="I343" t="s">
        <v>11</v>
      </c>
    </row>
    <row r="344" spans="1:9" x14ac:dyDescent="0.2">
      <c r="A344" t="s">
        <v>32</v>
      </c>
      <c r="B344" t="s">
        <v>10</v>
      </c>
      <c r="C344" s="3">
        <v>43518</v>
      </c>
      <c r="D344" s="3">
        <v>43518</v>
      </c>
      <c r="E344" s="3">
        <v>43533</v>
      </c>
      <c r="F344" s="3"/>
      <c r="G344">
        <v>8631</v>
      </c>
      <c r="H344">
        <v>10011.9</v>
      </c>
      <c r="I344" t="s">
        <v>11</v>
      </c>
    </row>
    <row r="345" spans="1:9" x14ac:dyDescent="0.2">
      <c r="A345" t="s">
        <v>32</v>
      </c>
      <c r="B345" t="s">
        <v>10</v>
      </c>
      <c r="C345" s="3">
        <v>43518</v>
      </c>
      <c r="D345" s="3">
        <v>43518</v>
      </c>
      <c r="E345" s="3">
        <v>43533</v>
      </c>
      <c r="F345" s="3"/>
      <c r="G345">
        <v>5523.84</v>
      </c>
      <c r="H345">
        <v>6407.65</v>
      </c>
      <c r="I345" t="s">
        <v>11</v>
      </c>
    </row>
    <row r="346" spans="1:9" x14ac:dyDescent="0.2">
      <c r="A346" t="s">
        <v>37</v>
      </c>
      <c r="B346" t="s">
        <v>10</v>
      </c>
      <c r="C346" s="3">
        <v>43516</v>
      </c>
      <c r="D346" s="3">
        <v>43511</v>
      </c>
      <c r="E346" s="3">
        <v>43576</v>
      </c>
      <c r="F346" s="3"/>
      <c r="G346">
        <v>18400</v>
      </c>
      <c r="H346">
        <v>21344</v>
      </c>
      <c r="I346" t="s">
        <v>11</v>
      </c>
    </row>
    <row r="347" spans="1:9" x14ac:dyDescent="0.2">
      <c r="A347" t="s">
        <v>19</v>
      </c>
      <c r="B347" t="s">
        <v>10</v>
      </c>
      <c r="C347" s="3">
        <v>43516</v>
      </c>
      <c r="D347" s="3">
        <v>43515</v>
      </c>
      <c r="E347" s="3">
        <v>43531</v>
      </c>
      <c r="F347" s="3"/>
      <c r="G347">
        <v>13610</v>
      </c>
      <c r="H347">
        <v>15787.6</v>
      </c>
      <c r="I347" t="s">
        <v>11</v>
      </c>
    </row>
    <row r="348" spans="1:9" x14ac:dyDescent="0.2">
      <c r="A348" t="s">
        <v>19</v>
      </c>
      <c r="B348" t="s">
        <v>10</v>
      </c>
      <c r="C348" s="3">
        <v>43516</v>
      </c>
      <c r="D348" s="3">
        <v>43515</v>
      </c>
      <c r="E348" s="3">
        <v>43531</v>
      </c>
      <c r="F348" s="3"/>
      <c r="G348">
        <v>26713</v>
      </c>
      <c r="H348">
        <v>30987</v>
      </c>
      <c r="I348" t="s">
        <v>11</v>
      </c>
    </row>
    <row r="349" spans="1:9" x14ac:dyDescent="0.2">
      <c r="A349" t="s">
        <v>39</v>
      </c>
      <c r="B349" t="s">
        <v>10</v>
      </c>
      <c r="C349" s="3">
        <v>43515</v>
      </c>
      <c r="D349" s="3">
        <v>43515</v>
      </c>
      <c r="E349" s="3">
        <v>43523</v>
      </c>
      <c r="F349" s="3"/>
      <c r="G349">
        <v>7618.92</v>
      </c>
      <c r="H349">
        <v>8837.9500000000007</v>
      </c>
      <c r="I349" t="s">
        <v>11</v>
      </c>
    </row>
    <row r="350" spans="1:9" x14ac:dyDescent="0.2">
      <c r="A350" t="s">
        <v>32</v>
      </c>
      <c r="B350" t="s">
        <v>10</v>
      </c>
      <c r="C350" s="3">
        <v>43515</v>
      </c>
      <c r="D350" s="3">
        <v>43515</v>
      </c>
      <c r="E350" s="3">
        <v>43530</v>
      </c>
      <c r="F350" s="3"/>
      <c r="G350">
        <v>2516.8000000000002</v>
      </c>
      <c r="H350">
        <v>2919.49</v>
      </c>
      <c r="I350" t="s">
        <v>11</v>
      </c>
    </row>
    <row r="351" spans="1:9" x14ac:dyDescent="0.2">
      <c r="A351" t="s">
        <v>32</v>
      </c>
      <c r="B351" t="s">
        <v>10</v>
      </c>
      <c r="C351" s="3">
        <v>43515</v>
      </c>
      <c r="D351" s="3">
        <v>43515</v>
      </c>
      <c r="E351" s="3">
        <v>43530</v>
      </c>
      <c r="F351" s="3"/>
      <c r="G351">
        <v>27413.7</v>
      </c>
      <c r="H351">
        <v>31799.9</v>
      </c>
      <c r="I351" t="s">
        <v>11</v>
      </c>
    </row>
    <row r="352" spans="1:9" x14ac:dyDescent="0.2">
      <c r="A352" t="s">
        <v>37</v>
      </c>
      <c r="B352" t="s">
        <v>10</v>
      </c>
      <c r="C352" s="3">
        <v>43510</v>
      </c>
      <c r="D352" s="3">
        <v>43510</v>
      </c>
      <c r="E352" s="3">
        <v>43570</v>
      </c>
      <c r="F352" s="3"/>
      <c r="G352">
        <v>12500</v>
      </c>
      <c r="H352">
        <v>14500</v>
      </c>
      <c r="I352" t="s">
        <v>11</v>
      </c>
    </row>
    <row r="353" spans="1:9" x14ac:dyDescent="0.2">
      <c r="A353" t="s">
        <v>32</v>
      </c>
      <c r="B353" t="s">
        <v>10</v>
      </c>
      <c r="C353" s="3">
        <v>43510</v>
      </c>
      <c r="D353" s="3">
        <v>43510</v>
      </c>
      <c r="E353" s="3">
        <v>43525</v>
      </c>
      <c r="F353" s="3"/>
      <c r="G353">
        <v>21725.200000000001</v>
      </c>
      <c r="H353">
        <v>25201.3</v>
      </c>
      <c r="I353" t="s">
        <v>11</v>
      </c>
    </row>
    <row r="354" spans="1:9" x14ac:dyDescent="0.2">
      <c r="A354" t="s">
        <v>32</v>
      </c>
      <c r="B354" t="s">
        <v>10</v>
      </c>
      <c r="C354" s="3">
        <v>43510</v>
      </c>
      <c r="D354" s="3">
        <v>43510</v>
      </c>
      <c r="E354" s="3">
        <v>43525</v>
      </c>
      <c r="F354" s="3"/>
      <c r="G354">
        <v>8146.98</v>
      </c>
      <c r="H354">
        <v>9450.5</v>
      </c>
      <c r="I354" t="s">
        <v>11</v>
      </c>
    </row>
    <row r="355" spans="1:9" x14ac:dyDescent="0.2">
      <c r="A355" t="s">
        <v>32</v>
      </c>
      <c r="B355" t="s">
        <v>10</v>
      </c>
      <c r="C355" s="3">
        <v>43510</v>
      </c>
      <c r="D355" s="3">
        <v>43510</v>
      </c>
      <c r="E355" s="3">
        <v>43525</v>
      </c>
      <c r="F355" s="3"/>
      <c r="G355">
        <v>9630</v>
      </c>
      <c r="H355">
        <v>11170.8</v>
      </c>
      <c r="I355" t="s">
        <v>11</v>
      </c>
    </row>
    <row r="356" spans="1:9" x14ac:dyDescent="0.2">
      <c r="A356" t="s">
        <v>32</v>
      </c>
      <c r="B356" t="s">
        <v>10</v>
      </c>
      <c r="C356" s="3">
        <v>43510</v>
      </c>
      <c r="D356" s="3">
        <v>43510</v>
      </c>
      <c r="E356" s="3">
        <v>43525</v>
      </c>
      <c r="F356" s="3"/>
      <c r="G356">
        <v>7626.96</v>
      </c>
      <c r="H356">
        <v>8847.27</v>
      </c>
      <c r="I356" t="s">
        <v>11</v>
      </c>
    </row>
    <row r="357" spans="1:9" x14ac:dyDescent="0.2">
      <c r="A357" t="s">
        <v>32</v>
      </c>
      <c r="B357" t="s">
        <v>10</v>
      </c>
      <c r="C357" s="3">
        <v>43510</v>
      </c>
      <c r="D357" s="3">
        <v>43510</v>
      </c>
      <c r="E357" s="3">
        <v>43525</v>
      </c>
      <c r="F357" s="3"/>
      <c r="G357">
        <v>19991.8</v>
      </c>
      <c r="H357">
        <v>23190.5</v>
      </c>
      <c r="I357" t="s">
        <v>11</v>
      </c>
    </row>
    <row r="358" spans="1:9" x14ac:dyDescent="0.2">
      <c r="A358" t="s">
        <v>32</v>
      </c>
      <c r="B358" t="s">
        <v>10</v>
      </c>
      <c r="C358" s="3">
        <v>43510</v>
      </c>
      <c r="D358" s="3">
        <v>43510</v>
      </c>
      <c r="E358" s="3">
        <v>43525</v>
      </c>
      <c r="F358" s="3"/>
      <c r="G358">
        <v>6663.96</v>
      </c>
      <c r="H358">
        <v>7730.19</v>
      </c>
      <c r="I358" t="s">
        <v>11</v>
      </c>
    </row>
    <row r="359" spans="1:9" x14ac:dyDescent="0.2">
      <c r="A359" t="s">
        <v>26</v>
      </c>
      <c r="B359" t="s">
        <v>10</v>
      </c>
      <c r="C359" s="3">
        <v>43509</v>
      </c>
      <c r="D359" s="3">
        <v>43509</v>
      </c>
      <c r="E359" s="3">
        <v>43516</v>
      </c>
      <c r="F359" s="3"/>
      <c r="G359">
        <v>1166</v>
      </c>
      <c r="H359">
        <v>1352.56</v>
      </c>
      <c r="I359" t="s">
        <v>11</v>
      </c>
    </row>
    <row r="360" spans="1:9" x14ac:dyDescent="0.2">
      <c r="A360" t="s">
        <v>26</v>
      </c>
      <c r="B360" t="s">
        <v>10</v>
      </c>
      <c r="C360" s="3">
        <v>43508</v>
      </c>
      <c r="D360" s="3">
        <v>43508</v>
      </c>
      <c r="E360" s="3">
        <v>43515</v>
      </c>
      <c r="F360" s="3"/>
      <c r="G360">
        <v>519.25</v>
      </c>
      <c r="H360">
        <v>602.33000000000004</v>
      </c>
      <c r="I360" t="s">
        <v>11</v>
      </c>
    </row>
    <row r="361" spans="1:9" x14ac:dyDescent="0.2">
      <c r="A361" t="s">
        <v>26</v>
      </c>
      <c r="B361" t="s">
        <v>10</v>
      </c>
      <c r="C361" s="3">
        <v>43508</v>
      </c>
      <c r="D361" s="3">
        <v>43508</v>
      </c>
      <c r="E361" s="3">
        <v>43515</v>
      </c>
      <c r="F361" s="3"/>
      <c r="G361">
        <v>6452.42</v>
      </c>
      <c r="H361">
        <v>7484.81</v>
      </c>
      <c r="I361" t="s">
        <v>11</v>
      </c>
    </row>
    <row r="362" spans="1:9" x14ac:dyDescent="0.2">
      <c r="A362" t="s">
        <v>18</v>
      </c>
      <c r="B362" t="s">
        <v>10</v>
      </c>
      <c r="C362" s="3">
        <v>43508</v>
      </c>
      <c r="D362" s="3">
        <v>43508</v>
      </c>
      <c r="E362" s="3">
        <v>43538</v>
      </c>
      <c r="F362" s="3"/>
      <c r="G362">
        <v>4230</v>
      </c>
      <c r="H362">
        <v>4906.8</v>
      </c>
      <c r="I362" t="s">
        <v>11</v>
      </c>
    </row>
    <row r="363" spans="1:9" x14ac:dyDescent="0.2">
      <c r="A363" t="s">
        <v>19</v>
      </c>
      <c r="B363" t="s">
        <v>10</v>
      </c>
      <c r="C363" s="3">
        <v>43508</v>
      </c>
      <c r="D363" s="3">
        <v>43507</v>
      </c>
      <c r="E363" s="3">
        <v>43523</v>
      </c>
      <c r="F363" s="3"/>
      <c r="G363">
        <v>6161</v>
      </c>
      <c r="H363">
        <v>7146.76</v>
      </c>
      <c r="I363" t="s">
        <v>11</v>
      </c>
    </row>
    <row r="364" spans="1:9" x14ac:dyDescent="0.2">
      <c r="A364" t="s">
        <v>19</v>
      </c>
      <c r="B364" t="s">
        <v>10</v>
      </c>
      <c r="C364" s="3">
        <v>43508</v>
      </c>
      <c r="D364" s="3">
        <v>43507</v>
      </c>
      <c r="E364" s="3">
        <v>43523</v>
      </c>
      <c r="F364" s="3"/>
      <c r="G364">
        <v>21637</v>
      </c>
      <c r="H364">
        <v>25098.9</v>
      </c>
      <c r="I364" t="s">
        <v>11</v>
      </c>
    </row>
    <row r="365" spans="1:9" x14ac:dyDescent="0.2">
      <c r="A365" t="s">
        <v>32</v>
      </c>
      <c r="B365" t="s">
        <v>10</v>
      </c>
      <c r="C365" s="3">
        <v>43507</v>
      </c>
      <c r="D365" s="3">
        <v>43507</v>
      </c>
      <c r="E365" s="3">
        <v>43522</v>
      </c>
      <c r="F365" s="3"/>
      <c r="G365">
        <v>1717.2</v>
      </c>
      <c r="H365">
        <v>1991.95</v>
      </c>
      <c r="I365" t="s">
        <v>11</v>
      </c>
    </row>
    <row r="366" spans="1:9" x14ac:dyDescent="0.2">
      <c r="A366" t="s">
        <v>40</v>
      </c>
      <c r="B366" t="s">
        <v>10</v>
      </c>
      <c r="C366" s="3">
        <v>43507</v>
      </c>
      <c r="D366" s="3">
        <v>43507</v>
      </c>
      <c r="E366" s="3">
        <v>43522</v>
      </c>
      <c r="F366" s="3"/>
      <c r="G366">
        <v>23200</v>
      </c>
      <c r="H366">
        <v>26912</v>
      </c>
      <c r="I366" t="s">
        <v>11</v>
      </c>
    </row>
    <row r="367" spans="1:9" x14ac:dyDescent="0.2">
      <c r="A367" t="s">
        <v>21</v>
      </c>
      <c r="B367" t="s">
        <v>10</v>
      </c>
      <c r="C367" s="3">
        <v>43507</v>
      </c>
      <c r="D367" s="3">
        <v>43507</v>
      </c>
      <c r="E367" s="3">
        <v>43514</v>
      </c>
      <c r="F367" s="3"/>
      <c r="G367">
        <v>45213</v>
      </c>
      <c r="H367">
        <v>52447</v>
      </c>
      <c r="I367" t="s">
        <v>11</v>
      </c>
    </row>
    <row r="368" spans="1:9" x14ac:dyDescent="0.2">
      <c r="A368" t="s">
        <v>32</v>
      </c>
      <c r="B368" t="s">
        <v>10</v>
      </c>
      <c r="C368" s="3">
        <v>43504</v>
      </c>
      <c r="D368" s="3">
        <v>43504</v>
      </c>
      <c r="E368" s="3">
        <v>43519</v>
      </c>
      <c r="F368" s="3"/>
      <c r="G368">
        <v>12230.4</v>
      </c>
      <c r="H368">
        <v>14187.2</v>
      </c>
      <c r="I368" t="s">
        <v>11</v>
      </c>
    </row>
    <row r="369" spans="1:9" x14ac:dyDescent="0.2">
      <c r="A369" t="s">
        <v>20</v>
      </c>
      <c r="B369" t="s">
        <v>10</v>
      </c>
      <c r="C369" s="3">
        <v>43501</v>
      </c>
      <c r="D369" s="3">
        <v>43501</v>
      </c>
      <c r="E369" s="3">
        <v>43546</v>
      </c>
      <c r="F369" s="3"/>
      <c r="G369">
        <v>11225</v>
      </c>
      <c r="H369">
        <v>13021</v>
      </c>
      <c r="I369" t="s">
        <v>11</v>
      </c>
    </row>
    <row r="370" spans="1:9" x14ac:dyDescent="0.2">
      <c r="A370" t="s">
        <v>41</v>
      </c>
      <c r="B370" t="s">
        <v>10</v>
      </c>
      <c r="C370" s="3">
        <v>43501</v>
      </c>
      <c r="D370" s="3">
        <v>43501</v>
      </c>
      <c r="E370" s="3">
        <v>43509</v>
      </c>
      <c r="F370" s="3"/>
      <c r="G370">
        <v>76728.899999999994</v>
      </c>
      <c r="H370">
        <v>89005.5</v>
      </c>
      <c r="I370" t="s">
        <v>11</v>
      </c>
    </row>
    <row r="371" spans="1:9" x14ac:dyDescent="0.2">
      <c r="A371" t="s">
        <v>25</v>
      </c>
      <c r="B371" t="s">
        <v>10</v>
      </c>
      <c r="C371" s="3">
        <v>43501</v>
      </c>
      <c r="D371" s="3">
        <v>43501</v>
      </c>
      <c r="E371" s="3">
        <v>43531</v>
      </c>
      <c r="F371" s="3"/>
      <c r="G371">
        <v>11143.5</v>
      </c>
      <c r="H371">
        <v>12926.4</v>
      </c>
      <c r="I371" t="s">
        <v>11</v>
      </c>
    </row>
    <row r="372" spans="1:9" x14ac:dyDescent="0.2">
      <c r="A372" t="s">
        <v>19</v>
      </c>
      <c r="B372" t="s">
        <v>10</v>
      </c>
      <c r="C372" s="3">
        <v>43497</v>
      </c>
      <c r="D372" s="3">
        <v>43490</v>
      </c>
      <c r="E372" s="3">
        <v>43512</v>
      </c>
      <c r="F372" s="3"/>
      <c r="G372">
        <v>31360</v>
      </c>
      <c r="H372">
        <v>36377.599999999999</v>
      </c>
      <c r="I372" t="s">
        <v>11</v>
      </c>
    </row>
    <row r="373" spans="1:9" x14ac:dyDescent="0.2">
      <c r="A373" t="s">
        <v>19</v>
      </c>
      <c r="B373" t="s">
        <v>10</v>
      </c>
      <c r="C373" s="3">
        <v>43497</v>
      </c>
      <c r="D373" s="3">
        <v>43489</v>
      </c>
      <c r="E373" s="3">
        <v>43512</v>
      </c>
      <c r="F373" s="3"/>
      <c r="G373">
        <v>37974</v>
      </c>
      <c r="H373">
        <v>44049.8</v>
      </c>
      <c r="I373" t="s">
        <v>11</v>
      </c>
    </row>
    <row r="374" spans="1:9" x14ac:dyDescent="0.2">
      <c r="A374" t="s">
        <v>19</v>
      </c>
      <c r="B374" t="s">
        <v>10</v>
      </c>
      <c r="C374" s="3">
        <v>43497</v>
      </c>
      <c r="D374" s="3">
        <v>43497</v>
      </c>
      <c r="E374" s="3">
        <v>43512</v>
      </c>
      <c r="F374" s="3"/>
      <c r="G374">
        <v>28640</v>
      </c>
      <c r="H374">
        <v>33222.400000000001</v>
      </c>
      <c r="I374" t="s">
        <v>11</v>
      </c>
    </row>
    <row r="375" spans="1:9" x14ac:dyDescent="0.2">
      <c r="A375" t="s">
        <v>41</v>
      </c>
      <c r="B375" t="s">
        <v>10</v>
      </c>
      <c r="C375" s="3">
        <v>43497</v>
      </c>
      <c r="D375" s="3">
        <v>43497</v>
      </c>
      <c r="E375" s="3">
        <v>43505</v>
      </c>
      <c r="F375" s="3"/>
      <c r="G375">
        <v>9196.7999999999993</v>
      </c>
      <c r="H375">
        <v>10668.2</v>
      </c>
      <c r="I375" t="s">
        <v>11</v>
      </c>
    </row>
    <row r="376" spans="1:9" x14ac:dyDescent="0.2">
      <c r="A376" t="s">
        <v>19</v>
      </c>
      <c r="B376" t="s">
        <v>10</v>
      </c>
      <c r="C376" s="3">
        <v>43494</v>
      </c>
      <c r="D376" s="3">
        <v>43487</v>
      </c>
      <c r="E376" s="3">
        <v>43509</v>
      </c>
      <c r="F376" s="3"/>
      <c r="G376">
        <v>30390</v>
      </c>
      <c r="H376">
        <v>35252.400000000001</v>
      </c>
      <c r="I376" t="s">
        <v>11</v>
      </c>
    </row>
    <row r="377" spans="1:9" x14ac:dyDescent="0.2">
      <c r="A377" t="s">
        <v>18</v>
      </c>
      <c r="B377" t="s">
        <v>10</v>
      </c>
      <c r="C377" s="3">
        <v>43494</v>
      </c>
      <c r="D377" s="3">
        <v>43494</v>
      </c>
      <c r="E377" s="3">
        <v>43524</v>
      </c>
      <c r="F377" s="3"/>
      <c r="G377">
        <v>3840</v>
      </c>
      <c r="H377">
        <v>4454.3999999999996</v>
      </c>
      <c r="I377" t="s">
        <v>11</v>
      </c>
    </row>
    <row r="378" spans="1:9" x14ac:dyDescent="0.2">
      <c r="A378" t="s">
        <v>13</v>
      </c>
      <c r="B378" t="s">
        <v>10</v>
      </c>
      <c r="C378" s="3">
        <v>43494</v>
      </c>
      <c r="D378" s="3">
        <v>43494</v>
      </c>
      <c r="E378" s="3">
        <v>43524</v>
      </c>
      <c r="F378" s="3"/>
      <c r="G378">
        <v>2322</v>
      </c>
      <c r="H378">
        <v>2693.52</v>
      </c>
      <c r="I378" t="s">
        <v>11</v>
      </c>
    </row>
    <row r="379" spans="1:9" x14ac:dyDescent="0.2">
      <c r="A379" t="s">
        <v>41</v>
      </c>
      <c r="B379" t="s">
        <v>10</v>
      </c>
      <c r="C379" s="3">
        <v>43493</v>
      </c>
      <c r="D379" s="3">
        <v>43490</v>
      </c>
      <c r="E379" s="3">
        <v>43501</v>
      </c>
      <c r="F379" s="3"/>
      <c r="G379">
        <v>7001.3</v>
      </c>
      <c r="H379">
        <v>8121.5</v>
      </c>
      <c r="I379" t="s">
        <v>11</v>
      </c>
    </row>
    <row r="380" spans="1:9" x14ac:dyDescent="0.2">
      <c r="A380" t="s">
        <v>41</v>
      </c>
      <c r="B380" t="s">
        <v>10</v>
      </c>
      <c r="C380" s="3">
        <v>43493</v>
      </c>
      <c r="D380" s="3">
        <v>43490</v>
      </c>
      <c r="E380" s="3">
        <v>43501</v>
      </c>
      <c r="F380" s="3"/>
      <c r="G380">
        <v>5723.13</v>
      </c>
      <c r="H380">
        <v>6638.83</v>
      </c>
      <c r="I380" t="s">
        <v>11</v>
      </c>
    </row>
    <row r="381" spans="1:9" x14ac:dyDescent="0.2">
      <c r="A381" t="s">
        <v>41</v>
      </c>
      <c r="B381" t="s">
        <v>10</v>
      </c>
      <c r="C381" s="3">
        <v>43493</v>
      </c>
      <c r="D381" s="3">
        <v>43493</v>
      </c>
      <c r="E381" s="3">
        <v>43501</v>
      </c>
      <c r="F381" s="3"/>
      <c r="G381">
        <v>24428.6</v>
      </c>
      <c r="H381">
        <v>28337.200000000001</v>
      </c>
      <c r="I381" t="s">
        <v>11</v>
      </c>
    </row>
    <row r="382" spans="1:9" x14ac:dyDescent="0.2">
      <c r="A382" t="s">
        <v>41</v>
      </c>
      <c r="B382" t="s">
        <v>10</v>
      </c>
      <c r="C382" s="3">
        <v>43493</v>
      </c>
      <c r="D382" s="3">
        <v>43493</v>
      </c>
      <c r="E382" s="3">
        <v>43501</v>
      </c>
      <c r="F382" s="3"/>
      <c r="G382">
        <v>14403.2</v>
      </c>
      <c r="H382">
        <v>16707.7</v>
      </c>
      <c r="I382" t="s">
        <v>11</v>
      </c>
    </row>
    <row r="383" spans="1:9" x14ac:dyDescent="0.2">
      <c r="A383" t="s">
        <v>41</v>
      </c>
      <c r="B383" t="s">
        <v>10</v>
      </c>
      <c r="C383" s="3">
        <v>43493</v>
      </c>
      <c r="D383" s="3">
        <v>43493</v>
      </c>
      <c r="E383" s="3">
        <v>43501</v>
      </c>
      <c r="F383" s="3"/>
      <c r="G383">
        <v>16024.7</v>
      </c>
      <c r="H383">
        <v>18588.7</v>
      </c>
      <c r="I383" t="s">
        <v>11</v>
      </c>
    </row>
    <row r="384" spans="1:9" x14ac:dyDescent="0.2">
      <c r="A384" t="s">
        <v>41</v>
      </c>
      <c r="B384" t="s">
        <v>10</v>
      </c>
      <c r="C384" s="3">
        <v>43493</v>
      </c>
      <c r="D384" s="3">
        <v>43493</v>
      </c>
      <c r="E384" s="3">
        <v>43501</v>
      </c>
      <c r="F384" s="3"/>
      <c r="G384">
        <v>17455.5</v>
      </c>
      <c r="H384">
        <v>20248.400000000001</v>
      </c>
      <c r="I384" t="s">
        <v>11</v>
      </c>
    </row>
    <row r="385" spans="1:9" x14ac:dyDescent="0.2">
      <c r="A385" t="s">
        <v>21</v>
      </c>
      <c r="B385" t="s">
        <v>10</v>
      </c>
      <c r="C385" s="3">
        <v>43493</v>
      </c>
      <c r="D385" s="3">
        <v>43493</v>
      </c>
      <c r="E385" s="3">
        <v>43500</v>
      </c>
      <c r="F385" s="3"/>
      <c r="G385">
        <v>9720</v>
      </c>
      <c r="H385">
        <v>11275.2</v>
      </c>
      <c r="I385" t="s">
        <v>11</v>
      </c>
    </row>
    <row r="386" spans="1:9" x14ac:dyDescent="0.2">
      <c r="A386" t="s">
        <v>41</v>
      </c>
      <c r="B386" t="s">
        <v>10</v>
      </c>
      <c r="C386" s="3">
        <v>43490</v>
      </c>
      <c r="D386" s="3">
        <v>43490</v>
      </c>
      <c r="E386" s="3">
        <v>43498</v>
      </c>
      <c r="F386" s="3"/>
      <c r="G386">
        <v>7440.07</v>
      </c>
      <c r="H386">
        <v>8630.48</v>
      </c>
      <c r="I386" t="s">
        <v>11</v>
      </c>
    </row>
    <row r="387" spans="1:9" x14ac:dyDescent="0.2">
      <c r="A387" t="s">
        <v>41</v>
      </c>
      <c r="B387" t="s">
        <v>10</v>
      </c>
      <c r="C387" s="3">
        <v>43489</v>
      </c>
      <c r="D387" s="3">
        <v>43489</v>
      </c>
      <c r="E387" s="3">
        <v>43497</v>
      </c>
      <c r="F387" s="3"/>
      <c r="G387">
        <v>7460.7</v>
      </c>
      <c r="H387">
        <v>8654.41</v>
      </c>
      <c r="I387" t="s">
        <v>11</v>
      </c>
    </row>
    <row r="388" spans="1:9" x14ac:dyDescent="0.2">
      <c r="A388" t="s">
        <v>13</v>
      </c>
      <c r="B388" t="s">
        <v>10</v>
      </c>
      <c r="C388" s="3">
        <v>43489</v>
      </c>
      <c r="D388" s="3">
        <v>43489</v>
      </c>
      <c r="E388" s="3">
        <v>43519</v>
      </c>
      <c r="F388" s="3"/>
      <c r="G388">
        <v>1548</v>
      </c>
      <c r="H388">
        <v>1795.68</v>
      </c>
      <c r="I388" t="s">
        <v>11</v>
      </c>
    </row>
    <row r="389" spans="1:9" x14ac:dyDescent="0.2">
      <c r="A389" t="s">
        <v>41</v>
      </c>
      <c r="B389" t="s">
        <v>10</v>
      </c>
      <c r="C389" s="3">
        <v>43488</v>
      </c>
      <c r="D389" s="3">
        <v>43488</v>
      </c>
      <c r="E389" s="3">
        <v>43496</v>
      </c>
      <c r="F389" s="3"/>
      <c r="G389">
        <v>17501.2</v>
      </c>
      <c r="H389">
        <v>20301.400000000001</v>
      </c>
      <c r="I389" t="s">
        <v>11</v>
      </c>
    </row>
    <row r="390" spans="1:9" x14ac:dyDescent="0.2">
      <c r="A390" t="s">
        <v>19</v>
      </c>
      <c r="B390" t="s">
        <v>10</v>
      </c>
      <c r="C390" s="3">
        <v>43486</v>
      </c>
      <c r="D390" s="3">
        <v>43483</v>
      </c>
      <c r="E390" s="3">
        <v>43501</v>
      </c>
      <c r="F390" s="3"/>
      <c r="G390">
        <v>28538</v>
      </c>
      <c r="H390">
        <v>33104</v>
      </c>
      <c r="I390" t="s">
        <v>11</v>
      </c>
    </row>
    <row r="391" spans="1:9" x14ac:dyDescent="0.2">
      <c r="A391" t="s">
        <v>19</v>
      </c>
      <c r="B391" t="s">
        <v>10</v>
      </c>
      <c r="C391" s="3">
        <v>43486</v>
      </c>
      <c r="D391" s="3">
        <v>43482</v>
      </c>
      <c r="E391" s="3">
        <v>43501</v>
      </c>
      <c r="F391" s="3"/>
      <c r="G391">
        <v>48770</v>
      </c>
      <c r="H391">
        <v>56573.2</v>
      </c>
      <c r="I391" t="s">
        <v>11</v>
      </c>
    </row>
    <row r="392" spans="1:9" x14ac:dyDescent="0.2">
      <c r="A392" t="s">
        <v>41</v>
      </c>
      <c r="B392" t="s">
        <v>10</v>
      </c>
      <c r="C392" s="3">
        <v>43483</v>
      </c>
      <c r="D392" s="3">
        <v>43483</v>
      </c>
      <c r="E392" s="3">
        <v>43491</v>
      </c>
      <c r="F392" s="3"/>
      <c r="G392">
        <v>14546.3</v>
      </c>
      <c r="H392">
        <v>16873.7</v>
      </c>
      <c r="I392" t="s">
        <v>11</v>
      </c>
    </row>
    <row r="393" spans="1:9" x14ac:dyDescent="0.2">
      <c r="A393" t="s">
        <v>41</v>
      </c>
      <c r="B393" t="s">
        <v>10</v>
      </c>
      <c r="C393" s="3">
        <v>43480</v>
      </c>
      <c r="D393" s="3">
        <v>43480</v>
      </c>
      <c r="E393" s="3">
        <v>43488</v>
      </c>
      <c r="F393" s="3"/>
      <c r="G393">
        <v>11433.7</v>
      </c>
      <c r="H393">
        <v>13263.1</v>
      </c>
      <c r="I393" t="s">
        <v>11</v>
      </c>
    </row>
    <row r="394" spans="1:9" x14ac:dyDescent="0.2">
      <c r="A394" t="s">
        <v>22</v>
      </c>
      <c r="B394" t="s">
        <v>10</v>
      </c>
      <c r="C394" s="3">
        <v>43476</v>
      </c>
      <c r="D394" s="3">
        <v>43476</v>
      </c>
      <c r="E394" s="3">
        <v>43506</v>
      </c>
      <c r="F394" s="3"/>
      <c r="G394">
        <v>2425.5</v>
      </c>
      <c r="H394">
        <v>2813.58</v>
      </c>
      <c r="I394" t="s">
        <v>11</v>
      </c>
    </row>
    <row r="395" spans="1:9" x14ac:dyDescent="0.2">
      <c r="A395" t="s">
        <v>18</v>
      </c>
      <c r="B395" t="s">
        <v>10</v>
      </c>
      <c r="C395" s="3">
        <v>43476</v>
      </c>
      <c r="D395" s="3">
        <v>43474</v>
      </c>
      <c r="E395" s="3">
        <v>43506</v>
      </c>
      <c r="F395" s="3"/>
      <c r="G395">
        <v>25932</v>
      </c>
      <c r="H395">
        <v>30081.1</v>
      </c>
      <c r="I395" t="s">
        <v>11</v>
      </c>
    </row>
    <row r="396" spans="1:9" x14ac:dyDescent="0.2">
      <c r="A396" t="s">
        <v>41</v>
      </c>
      <c r="B396" t="s">
        <v>10</v>
      </c>
      <c r="C396" s="3">
        <v>43475</v>
      </c>
      <c r="D396" s="3">
        <v>43475</v>
      </c>
      <c r="E396" s="3">
        <v>43483</v>
      </c>
      <c r="F396" s="3"/>
      <c r="G396">
        <v>6966</v>
      </c>
      <c r="H396">
        <v>8080.56</v>
      </c>
      <c r="I396" t="s">
        <v>11</v>
      </c>
    </row>
    <row r="397" spans="1:9" x14ac:dyDescent="0.2">
      <c r="A397" t="s">
        <v>41</v>
      </c>
      <c r="B397" t="s">
        <v>10</v>
      </c>
      <c r="C397" s="3">
        <v>43475</v>
      </c>
      <c r="D397" s="3">
        <v>43475</v>
      </c>
      <c r="E397" s="3">
        <v>43483</v>
      </c>
      <c r="F397" s="3"/>
      <c r="G397">
        <v>1741.5</v>
      </c>
      <c r="H397">
        <v>2020.14</v>
      </c>
      <c r="I397" t="s">
        <v>11</v>
      </c>
    </row>
    <row r="398" spans="1:9" x14ac:dyDescent="0.2">
      <c r="A398" t="s">
        <v>41</v>
      </c>
      <c r="B398" t="s">
        <v>10</v>
      </c>
      <c r="C398" s="3">
        <v>43475</v>
      </c>
      <c r="D398" s="3">
        <v>43475</v>
      </c>
      <c r="E398" s="3">
        <v>43483</v>
      </c>
      <c r="F398" s="3"/>
      <c r="G398">
        <v>35410.5</v>
      </c>
      <c r="H398">
        <v>41076.1</v>
      </c>
      <c r="I398" t="s">
        <v>11</v>
      </c>
    </row>
    <row r="399" spans="1:9" x14ac:dyDescent="0.2">
      <c r="A399" t="s">
        <v>20</v>
      </c>
      <c r="B399" t="s">
        <v>10</v>
      </c>
      <c r="C399" s="3">
        <v>43475</v>
      </c>
      <c r="D399" s="3">
        <v>43475</v>
      </c>
      <c r="E399" s="3">
        <v>43520</v>
      </c>
      <c r="F399" s="3"/>
      <c r="G399">
        <v>37716</v>
      </c>
      <c r="H399">
        <v>43750.5</v>
      </c>
      <c r="I399" t="s">
        <v>11</v>
      </c>
    </row>
    <row r="400" spans="1:9" x14ac:dyDescent="0.2">
      <c r="A400" t="s">
        <v>9</v>
      </c>
      <c r="B400" t="s">
        <v>10</v>
      </c>
      <c r="C400" s="3">
        <v>43474</v>
      </c>
      <c r="D400" s="3">
        <v>43474</v>
      </c>
      <c r="E400" s="3">
        <v>43481</v>
      </c>
      <c r="F400" s="3"/>
      <c r="G400">
        <v>1950</v>
      </c>
      <c r="H400">
        <v>2262</v>
      </c>
      <c r="I400" t="s">
        <v>11</v>
      </c>
    </row>
    <row r="401" spans="1:9" x14ac:dyDescent="0.2">
      <c r="A401" t="s">
        <v>42</v>
      </c>
      <c r="B401" t="s">
        <v>10</v>
      </c>
      <c r="C401" s="3">
        <v>43473</v>
      </c>
      <c r="D401" s="3">
        <v>43473</v>
      </c>
      <c r="E401" s="3">
        <v>43473</v>
      </c>
      <c r="F401" s="3"/>
      <c r="G401">
        <v>11200</v>
      </c>
      <c r="H401">
        <v>12992</v>
      </c>
      <c r="I401" t="s">
        <v>11</v>
      </c>
    </row>
    <row r="402" spans="1:9" x14ac:dyDescent="0.2">
      <c r="A402" t="s">
        <v>18</v>
      </c>
      <c r="B402" t="s">
        <v>10</v>
      </c>
      <c r="C402" s="3">
        <v>43473</v>
      </c>
      <c r="D402" s="3">
        <v>43473</v>
      </c>
      <c r="E402" s="3">
        <v>43503</v>
      </c>
      <c r="F402" s="3"/>
      <c r="G402">
        <v>19896</v>
      </c>
      <c r="H402">
        <v>23079.3</v>
      </c>
      <c r="I402" t="s">
        <v>11</v>
      </c>
    </row>
    <row r="403" spans="1:9" x14ac:dyDescent="0.2">
      <c r="A403" t="s">
        <v>21</v>
      </c>
      <c r="B403" t="s">
        <v>10</v>
      </c>
      <c r="C403" s="3">
        <v>43472</v>
      </c>
      <c r="D403" s="3">
        <v>43472</v>
      </c>
      <c r="E403" s="3">
        <v>43479</v>
      </c>
      <c r="F403" s="3"/>
      <c r="G403">
        <v>11320</v>
      </c>
      <c r="H403">
        <v>13131.2</v>
      </c>
      <c r="I403" t="s">
        <v>11</v>
      </c>
    </row>
    <row r="404" spans="1:9" x14ac:dyDescent="0.2">
      <c r="A404" t="s">
        <v>21</v>
      </c>
      <c r="B404" t="s">
        <v>10</v>
      </c>
      <c r="C404" s="3">
        <v>43472</v>
      </c>
      <c r="D404" s="3">
        <v>43472</v>
      </c>
      <c r="E404" s="3">
        <v>43479</v>
      </c>
      <c r="F404" s="3"/>
      <c r="G404">
        <v>9150</v>
      </c>
      <c r="H404">
        <v>10614</v>
      </c>
      <c r="I404" t="s">
        <v>11</v>
      </c>
    </row>
    <row r="405" spans="1:9" x14ac:dyDescent="0.2">
      <c r="A405" t="s">
        <v>18</v>
      </c>
      <c r="B405" t="s">
        <v>10</v>
      </c>
      <c r="C405" s="3">
        <v>43472</v>
      </c>
      <c r="D405" s="3">
        <v>43472</v>
      </c>
      <c r="E405" s="3">
        <v>43502</v>
      </c>
      <c r="F405" s="3"/>
      <c r="G405">
        <v>36696</v>
      </c>
      <c r="H405">
        <v>42567.3</v>
      </c>
      <c r="I405" t="s">
        <v>11</v>
      </c>
    </row>
    <row r="406" spans="1:9" x14ac:dyDescent="0.2">
      <c r="A406" t="s">
        <v>25</v>
      </c>
      <c r="B406" t="s">
        <v>10</v>
      </c>
      <c r="C406" s="3">
        <v>43468</v>
      </c>
      <c r="D406" s="3">
        <v>43468</v>
      </c>
      <c r="E406" s="3">
        <v>43498</v>
      </c>
      <c r="F406" s="3"/>
      <c r="G406">
        <v>7532</v>
      </c>
      <c r="H406">
        <v>8737.1200000000008</v>
      </c>
      <c r="I406" t="s">
        <v>11</v>
      </c>
    </row>
    <row r="407" spans="1:9" x14ac:dyDescent="0.2">
      <c r="A407" t="s">
        <v>40</v>
      </c>
      <c r="B407" t="s">
        <v>10</v>
      </c>
      <c r="C407" s="3">
        <v>43467</v>
      </c>
      <c r="D407" s="3">
        <v>43467</v>
      </c>
      <c r="E407" s="3">
        <v>43482</v>
      </c>
      <c r="F407" s="3"/>
      <c r="G407">
        <v>23200</v>
      </c>
      <c r="H407">
        <v>26912</v>
      </c>
      <c r="I407" t="s">
        <v>11</v>
      </c>
    </row>
    <row r="408" spans="1:9" x14ac:dyDescent="0.2">
      <c r="A408" t="s">
        <v>41</v>
      </c>
      <c r="B408" t="s">
        <v>10</v>
      </c>
      <c r="C408" s="3">
        <v>43453</v>
      </c>
      <c r="D408" s="3">
        <v>43453</v>
      </c>
      <c r="E408" s="3">
        <v>43461</v>
      </c>
      <c r="F408" s="3"/>
      <c r="G408">
        <v>4042.11</v>
      </c>
      <c r="H408">
        <v>4688.8500000000004</v>
      </c>
      <c r="I408" t="s">
        <v>11</v>
      </c>
    </row>
    <row r="409" spans="1:9" x14ac:dyDescent="0.2">
      <c r="A409" t="s">
        <v>41</v>
      </c>
      <c r="B409" t="s">
        <v>10</v>
      </c>
      <c r="C409" s="3">
        <v>43453</v>
      </c>
      <c r="D409" s="3">
        <v>43453</v>
      </c>
      <c r="E409" s="3">
        <v>43461</v>
      </c>
      <c r="F409" s="3"/>
      <c r="G409">
        <v>3619.8</v>
      </c>
      <c r="H409">
        <v>4198.97</v>
      </c>
      <c r="I409" t="s">
        <v>11</v>
      </c>
    </row>
    <row r="410" spans="1:9" x14ac:dyDescent="0.2">
      <c r="A410" t="s">
        <v>41</v>
      </c>
      <c r="B410" t="s">
        <v>10</v>
      </c>
      <c r="C410" s="3">
        <v>43453</v>
      </c>
      <c r="D410" s="3">
        <v>43453</v>
      </c>
      <c r="E410" s="3">
        <v>43461</v>
      </c>
      <c r="F410" s="3"/>
      <c r="G410">
        <v>24614.6</v>
      </c>
      <c r="H410">
        <v>28552.9</v>
      </c>
      <c r="I410" t="s">
        <v>11</v>
      </c>
    </row>
    <row r="411" spans="1:9" x14ac:dyDescent="0.2">
      <c r="A411" t="s">
        <v>41</v>
      </c>
      <c r="B411" t="s">
        <v>10</v>
      </c>
      <c r="C411" s="3">
        <v>43453</v>
      </c>
      <c r="D411" s="3">
        <v>43453</v>
      </c>
      <c r="E411" s="3">
        <v>43461</v>
      </c>
      <c r="F411" s="3"/>
      <c r="G411">
        <v>17354.900000000001</v>
      </c>
      <c r="H411">
        <v>20131.7</v>
      </c>
      <c r="I411" t="s">
        <v>11</v>
      </c>
    </row>
    <row r="412" spans="1:9" x14ac:dyDescent="0.2">
      <c r="A412" t="s">
        <v>41</v>
      </c>
      <c r="B412" t="s">
        <v>10</v>
      </c>
      <c r="C412" s="3">
        <v>43453</v>
      </c>
      <c r="D412" s="3">
        <v>43453</v>
      </c>
      <c r="E412" s="3">
        <v>43461</v>
      </c>
      <c r="F412" s="3"/>
      <c r="G412">
        <v>28113.7</v>
      </c>
      <c r="H412">
        <v>32611.9</v>
      </c>
      <c r="I412" t="s">
        <v>11</v>
      </c>
    </row>
    <row r="413" spans="1:9" x14ac:dyDescent="0.2">
      <c r="A413" t="s">
        <v>41</v>
      </c>
      <c r="B413" t="s">
        <v>10</v>
      </c>
      <c r="C413" s="3">
        <v>43453</v>
      </c>
      <c r="D413" s="3">
        <v>43453</v>
      </c>
      <c r="E413" s="3">
        <v>43461</v>
      </c>
      <c r="F413" s="3"/>
      <c r="G413">
        <v>20431.7</v>
      </c>
      <c r="H413">
        <v>23700.799999999999</v>
      </c>
      <c r="I413" t="s">
        <v>11</v>
      </c>
    </row>
    <row r="414" spans="1:9" x14ac:dyDescent="0.2">
      <c r="A414" t="s">
        <v>25</v>
      </c>
      <c r="B414" t="s">
        <v>10</v>
      </c>
      <c r="C414" s="3">
        <v>43453</v>
      </c>
      <c r="D414" s="3">
        <v>43453</v>
      </c>
      <c r="E414" s="3">
        <v>43483</v>
      </c>
      <c r="F414" s="3"/>
      <c r="G414">
        <v>22833.4</v>
      </c>
      <c r="H414">
        <v>26486.7</v>
      </c>
      <c r="I414" t="s">
        <v>11</v>
      </c>
    </row>
    <row r="415" spans="1:9" x14ac:dyDescent="0.2">
      <c r="A415" t="s">
        <v>41</v>
      </c>
      <c r="B415" t="s">
        <v>10</v>
      </c>
      <c r="C415" s="3">
        <v>43451</v>
      </c>
      <c r="D415" s="3">
        <v>43448</v>
      </c>
      <c r="E415" s="3">
        <v>43459</v>
      </c>
      <c r="F415" s="3"/>
      <c r="G415">
        <v>13857.8</v>
      </c>
      <c r="H415">
        <v>16075</v>
      </c>
      <c r="I415" t="s">
        <v>11</v>
      </c>
    </row>
    <row r="416" spans="1:9" x14ac:dyDescent="0.2">
      <c r="A416" t="s">
        <v>41</v>
      </c>
      <c r="B416" t="s">
        <v>10</v>
      </c>
      <c r="C416" s="3">
        <v>43448</v>
      </c>
      <c r="D416" s="3">
        <v>43448</v>
      </c>
      <c r="E416" s="3">
        <v>43456</v>
      </c>
      <c r="F416" s="3"/>
      <c r="G416">
        <v>28162.5</v>
      </c>
      <c r="H416">
        <v>32668.5</v>
      </c>
      <c r="I416" t="s">
        <v>11</v>
      </c>
    </row>
    <row r="417" spans="1:9" x14ac:dyDescent="0.2">
      <c r="A417" t="s">
        <v>41</v>
      </c>
      <c r="B417" t="s">
        <v>10</v>
      </c>
      <c r="C417" s="3">
        <v>43448</v>
      </c>
      <c r="D417" s="3">
        <v>43448</v>
      </c>
      <c r="E417" s="3">
        <v>43456</v>
      </c>
      <c r="F417" s="3"/>
      <c r="G417">
        <v>34817.599999999999</v>
      </c>
      <c r="H417">
        <v>40388.400000000001</v>
      </c>
      <c r="I417" t="s">
        <v>11</v>
      </c>
    </row>
    <row r="418" spans="1:9" x14ac:dyDescent="0.2">
      <c r="A418" t="s">
        <v>20</v>
      </c>
      <c r="B418" t="s">
        <v>10</v>
      </c>
      <c r="C418" s="3">
        <v>43447</v>
      </c>
      <c r="D418" s="3">
        <v>43447</v>
      </c>
      <c r="E418" s="3">
        <v>43492</v>
      </c>
      <c r="F418" s="3"/>
      <c r="G418">
        <v>29067</v>
      </c>
      <c r="H418">
        <v>33717.699999999997</v>
      </c>
      <c r="I418" t="s">
        <v>11</v>
      </c>
    </row>
    <row r="419" spans="1:9" x14ac:dyDescent="0.2">
      <c r="A419" t="s">
        <v>21</v>
      </c>
      <c r="B419" t="s">
        <v>10</v>
      </c>
      <c r="C419" s="3">
        <v>43447</v>
      </c>
      <c r="D419" s="3">
        <v>43447</v>
      </c>
      <c r="E419" s="3">
        <v>43454</v>
      </c>
      <c r="F419" s="3"/>
      <c r="G419">
        <v>10240</v>
      </c>
      <c r="H419">
        <v>11878.4</v>
      </c>
      <c r="I419" t="s">
        <v>11</v>
      </c>
    </row>
    <row r="420" spans="1:9" x14ac:dyDescent="0.2">
      <c r="A420" t="s">
        <v>21</v>
      </c>
      <c r="B420" t="s">
        <v>10</v>
      </c>
      <c r="C420" s="3">
        <v>43447</v>
      </c>
      <c r="D420" s="3">
        <v>43447</v>
      </c>
      <c r="E420" s="3">
        <v>43454</v>
      </c>
      <c r="F420" s="3"/>
      <c r="G420">
        <v>12518</v>
      </c>
      <c r="H420">
        <v>14520.8</v>
      </c>
      <c r="I420" t="s">
        <v>11</v>
      </c>
    </row>
    <row r="421" spans="1:9" x14ac:dyDescent="0.2">
      <c r="A421" t="s">
        <v>37</v>
      </c>
      <c r="B421" t="s">
        <v>10</v>
      </c>
      <c r="C421" s="3">
        <v>43447</v>
      </c>
      <c r="D421" s="3">
        <v>43447</v>
      </c>
      <c r="E421" s="3">
        <v>43507</v>
      </c>
      <c r="F421" s="3"/>
      <c r="G421">
        <v>456090</v>
      </c>
      <c r="H421">
        <v>529064</v>
      </c>
      <c r="I421" t="s">
        <v>11</v>
      </c>
    </row>
    <row r="422" spans="1:9" x14ac:dyDescent="0.2">
      <c r="A422" t="s">
        <v>41</v>
      </c>
      <c r="B422" t="s">
        <v>10</v>
      </c>
      <c r="C422" s="3">
        <v>43447</v>
      </c>
      <c r="D422" s="3">
        <v>43447</v>
      </c>
      <c r="E422" s="3">
        <v>43455</v>
      </c>
      <c r="F422" s="3"/>
      <c r="G422">
        <v>7818.24</v>
      </c>
      <c r="H422">
        <v>9069.16</v>
      </c>
      <c r="I422" t="s">
        <v>11</v>
      </c>
    </row>
    <row r="423" spans="1:9" x14ac:dyDescent="0.2">
      <c r="A423" t="s">
        <v>20</v>
      </c>
      <c r="B423" t="s">
        <v>10</v>
      </c>
      <c r="C423" s="3">
        <v>43445</v>
      </c>
      <c r="D423" s="3">
        <v>43445</v>
      </c>
      <c r="E423" s="3">
        <v>43490</v>
      </c>
      <c r="F423" s="3"/>
      <c r="G423">
        <v>3660</v>
      </c>
      <c r="H423">
        <v>4245.6000000000004</v>
      </c>
      <c r="I423" t="s">
        <v>11</v>
      </c>
    </row>
    <row r="424" spans="1:9" x14ac:dyDescent="0.2">
      <c r="A424" t="s">
        <v>18</v>
      </c>
      <c r="B424" t="s">
        <v>10</v>
      </c>
      <c r="C424" s="3">
        <v>43445</v>
      </c>
      <c r="D424" s="3">
        <v>43445</v>
      </c>
      <c r="E424" s="3">
        <v>43475</v>
      </c>
      <c r="F424" s="3"/>
      <c r="G424">
        <v>17424</v>
      </c>
      <c r="H424">
        <v>20211.8</v>
      </c>
      <c r="I424" t="s">
        <v>11</v>
      </c>
    </row>
    <row r="425" spans="1:9" x14ac:dyDescent="0.2">
      <c r="A425" t="s">
        <v>41</v>
      </c>
      <c r="B425" t="s">
        <v>10</v>
      </c>
      <c r="C425" s="3">
        <v>43441</v>
      </c>
      <c r="D425" s="3">
        <v>43441</v>
      </c>
      <c r="E425" s="3">
        <v>43449</v>
      </c>
      <c r="F425" s="3"/>
      <c r="G425">
        <v>3805.45</v>
      </c>
      <c r="H425">
        <v>4414.32</v>
      </c>
      <c r="I425" t="s">
        <v>11</v>
      </c>
    </row>
    <row r="426" spans="1:9" x14ac:dyDescent="0.2">
      <c r="A426" t="s">
        <v>19</v>
      </c>
      <c r="B426" t="s">
        <v>10</v>
      </c>
      <c r="C426" s="3">
        <v>43440</v>
      </c>
      <c r="D426" s="3">
        <v>43440</v>
      </c>
      <c r="E426" s="3">
        <v>43455</v>
      </c>
      <c r="F426" s="3"/>
      <c r="G426">
        <v>800</v>
      </c>
      <c r="H426">
        <v>928</v>
      </c>
      <c r="I426" t="s">
        <v>11</v>
      </c>
    </row>
    <row r="427" spans="1:9" x14ac:dyDescent="0.2">
      <c r="A427" t="s">
        <v>41</v>
      </c>
      <c r="B427" t="s">
        <v>10</v>
      </c>
      <c r="C427" s="3">
        <v>43440</v>
      </c>
      <c r="D427" s="3">
        <v>43440</v>
      </c>
      <c r="E427" s="3">
        <v>43448</v>
      </c>
      <c r="F427" s="3"/>
      <c r="G427">
        <v>23094.2</v>
      </c>
      <c r="H427">
        <v>26789.3</v>
      </c>
      <c r="I427" t="s">
        <v>11</v>
      </c>
    </row>
    <row r="428" spans="1:9" x14ac:dyDescent="0.2">
      <c r="A428" t="s">
        <v>41</v>
      </c>
      <c r="B428" t="s">
        <v>10</v>
      </c>
      <c r="C428" s="3">
        <v>43439</v>
      </c>
      <c r="D428" s="3">
        <v>43439</v>
      </c>
      <c r="E428" s="3">
        <v>43447</v>
      </c>
      <c r="F428" s="3"/>
      <c r="G428">
        <v>35463.1</v>
      </c>
      <c r="H428">
        <v>41137.300000000003</v>
      </c>
      <c r="I428" t="s">
        <v>11</v>
      </c>
    </row>
    <row r="429" spans="1:9" x14ac:dyDescent="0.2">
      <c r="A429" t="s">
        <v>41</v>
      </c>
      <c r="B429" t="s">
        <v>10</v>
      </c>
      <c r="C429" s="3">
        <v>43439</v>
      </c>
      <c r="D429" s="3">
        <v>43439</v>
      </c>
      <c r="E429" s="3">
        <v>43447</v>
      </c>
      <c r="F429" s="3"/>
      <c r="G429">
        <v>15759.1</v>
      </c>
      <c r="H429">
        <v>18280.599999999999</v>
      </c>
      <c r="I429" t="s">
        <v>11</v>
      </c>
    </row>
    <row r="430" spans="1:9" x14ac:dyDescent="0.2">
      <c r="A430" t="s">
        <v>18</v>
      </c>
      <c r="B430" t="s">
        <v>10</v>
      </c>
      <c r="C430" s="3">
        <v>43438</v>
      </c>
      <c r="D430" s="3">
        <v>43438</v>
      </c>
      <c r="E430" s="3">
        <v>43468</v>
      </c>
      <c r="F430" s="3"/>
      <c r="G430">
        <v>644</v>
      </c>
      <c r="H430">
        <v>747.04</v>
      </c>
      <c r="I430" t="s">
        <v>11</v>
      </c>
    </row>
    <row r="431" spans="1:9" x14ac:dyDescent="0.2">
      <c r="A431" t="s">
        <v>19</v>
      </c>
      <c r="B431" t="s">
        <v>10</v>
      </c>
      <c r="C431" s="3">
        <v>43438</v>
      </c>
      <c r="D431" s="3">
        <v>43438</v>
      </c>
      <c r="E431" s="3">
        <v>43453</v>
      </c>
      <c r="F431" s="3"/>
      <c r="G431">
        <v>1636</v>
      </c>
      <c r="H431">
        <v>1897.76</v>
      </c>
      <c r="I431" t="s">
        <v>11</v>
      </c>
    </row>
    <row r="432" spans="1:9" x14ac:dyDescent="0.2">
      <c r="A432" t="s">
        <v>18</v>
      </c>
      <c r="B432" t="s">
        <v>10</v>
      </c>
      <c r="C432" s="3">
        <v>43438</v>
      </c>
      <c r="D432" s="3">
        <v>43438</v>
      </c>
      <c r="E432" s="3">
        <v>43468</v>
      </c>
      <c r="F432" s="3"/>
      <c r="G432">
        <v>8100</v>
      </c>
      <c r="H432">
        <v>9396</v>
      </c>
      <c r="I432" t="s">
        <v>11</v>
      </c>
    </row>
    <row r="433" spans="1:9" x14ac:dyDescent="0.2">
      <c r="A433" t="s">
        <v>18</v>
      </c>
      <c r="B433" t="s">
        <v>10</v>
      </c>
      <c r="C433" s="3">
        <v>43437</v>
      </c>
      <c r="D433" s="3">
        <v>43437</v>
      </c>
      <c r="E433" s="3">
        <v>43467</v>
      </c>
      <c r="F433" s="3"/>
      <c r="G433">
        <v>29876</v>
      </c>
      <c r="H433">
        <v>34656.1</v>
      </c>
      <c r="I433" t="s">
        <v>11</v>
      </c>
    </row>
    <row r="434" spans="1:9" x14ac:dyDescent="0.2">
      <c r="A434" t="s">
        <v>18</v>
      </c>
      <c r="B434" t="s">
        <v>10</v>
      </c>
      <c r="C434" s="3">
        <v>43437</v>
      </c>
      <c r="D434" s="3">
        <v>43437</v>
      </c>
      <c r="E434" s="3">
        <v>43467</v>
      </c>
      <c r="F434" s="3"/>
      <c r="G434">
        <v>16532</v>
      </c>
      <c r="H434">
        <v>19177.099999999999</v>
      </c>
      <c r="I434" t="s">
        <v>11</v>
      </c>
    </row>
    <row r="435" spans="1:9" x14ac:dyDescent="0.2">
      <c r="A435" t="s">
        <v>20</v>
      </c>
      <c r="B435" t="s">
        <v>10</v>
      </c>
      <c r="C435" s="3">
        <v>43437</v>
      </c>
      <c r="D435" s="3">
        <v>43437</v>
      </c>
      <c r="E435" s="3">
        <v>43482</v>
      </c>
      <c r="F435" s="3"/>
      <c r="G435">
        <v>21540</v>
      </c>
      <c r="H435">
        <v>24986.400000000001</v>
      </c>
      <c r="I435" t="s">
        <v>11</v>
      </c>
    </row>
    <row r="436" spans="1:9" x14ac:dyDescent="0.2">
      <c r="A436" t="s">
        <v>41</v>
      </c>
      <c r="B436" t="s">
        <v>10</v>
      </c>
      <c r="C436" s="3">
        <v>43434</v>
      </c>
      <c r="D436" s="3">
        <v>43434</v>
      </c>
      <c r="E436" s="3">
        <v>43442</v>
      </c>
      <c r="F436" s="3"/>
      <c r="G436">
        <v>27451.4</v>
      </c>
      <c r="H436">
        <v>31843.599999999999</v>
      </c>
      <c r="I436" t="s">
        <v>11</v>
      </c>
    </row>
    <row r="437" spans="1:9" x14ac:dyDescent="0.2">
      <c r="A437" t="s">
        <v>19</v>
      </c>
      <c r="B437" t="s">
        <v>10</v>
      </c>
      <c r="C437" s="3">
        <v>43434</v>
      </c>
      <c r="D437" s="3">
        <v>43434</v>
      </c>
      <c r="E437" s="3">
        <v>43449</v>
      </c>
      <c r="F437" s="3"/>
      <c r="G437">
        <v>7512</v>
      </c>
      <c r="H437">
        <v>8713.92</v>
      </c>
      <c r="I437" t="s">
        <v>11</v>
      </c>
    </row>
    <row r="438" spans="1:9" x14ac:dyDescent="0.2">
      <c r="A438" t="s">
        <v>41</v>
      </c>
      <c r="B438" t="s">
        <v>10</v>
      </c>
      <c r="C438" s="3">
        <v>43433</v>
      </c>
      <c r="D438" s="3">
        <v>43433</v>
      </c>
      <c r="E438" s="3">
        <v>43441</v>
      </c>
      <c r="F438" s="3"/>
      <c r="G438">
        <v>5830.52</v>
      </c>
      <c r="H438">
        <v>6763.4</v>
      </c>
      <c r="I438" t="s">
        <v>11</v>
      </c>
    </row>
    <row r="439" spans="1:9" x14ac:dyDescent="0.2">
      <c r="A439" t="s">
        <v>25</v>
      </c>
      <c r="B439" t="s">
        <v>10</v>
      </c>
      <c r="C439" s="3">
        <v>43433</v>
      </c>
      <c r="D439" s="3">
        <v>43433</v>
      </c>
      <c r="E439" s="3">
        <v>43463</v>
      </c>
      <c r="F439" s="3"/>
      <c r="G439">
        <v>15990</v>
      </c>
      <c r="H439">
        <v>18548.400000000001</v>
      </c>
      <c r="I439" t="s">
        <v>11</v>
      </c>
    </row>
    <row r="440" spans="1:9" x14ac:dyDescent="0.2">
      <c r="A440" t="s">
        <v>18</v>
      </c>
      <c r="B440" t="s">
        <v>10</v>
      </c>
      <c r="C440" s="3">
        <v>43431</v>
      </c>
      <c r="D440" s="3">
        <v>43431</v>
      </c>
      <c r="E440" s="3">
        <v>43461</v>
      </c>
      <c r="F440" s="3"/>
      <c r="G440">
        <v>13630</v>
      </c>
      <c r="H440">
        <v>15810.8</v>
      </c>
      <c r="I440" t="s">
        <v>11</v>
      </c>
    </row>
    <row r="441" spans="1:9" x14ac:dyDescent="0.2">
      <c r="A441" t="s">
        <v>19</v>
      </c>
      <c r="B441" t="s">
        <v>10</v>
      </c>
      <c r="C441" s="3">
        <v>43431</v>
      </c>
      <c r="D441" s="3">
        <v>43431</v>
      </c>
      <c r="E441" s="3">
        <v>43446</v>
      </c>
      <c r="F441" s="3"/>
      <c r="G441">
        <v>29480</v>
      </c>
      <c r="H441">
        <v>34196.800000000003</v>
      </c>
      <c r="I441" t="s">
        <v>11</v>
      </c>
    </row>
    <row r="442" spans="1:9" x14ac:dyDescent="0.2">
      <c r="A442" t="s">
        <v>19</v>
      </c>
      <c r="B442" t="s">
        <v>10</v>
      </c>
      <c r="C442" s="3">
        <v>43431</v>
      </c>
      <c r="D442" s="3">
        <v>43431</v>
      </c>
      <c r="E442" s="3">
        <v>43446</v>
      </c>
      <c r="F442" s="3"/>
      <c r="G442">
        <v>29480</v>
      </c>
      <c r="H442">
        <v>34196.800000000003</v>
      </c>
      <c r="I442" t="s">
        <v>11</v>
      </c>
    </row>
    <row r="443" spans="1:9" x14ac:dyDescent="0.2">
      <c r="A443" t="s">
        <v>19</v>
      </c>
      <c r="B443" t="s">
        <v>10</v>
      </c>
      <c r="C443" s="3">
        <v>43431</v>
      </c>
      <c r="D443" s="3">
        <v>43431</v>
      </c>
      <c r="E443" s="3">
        <v>43446</v>
      </c>
      <c r="F443" s="3"/>
      <c r="G443">
        <v>34848</v>
      </c>
      <c r="H443">
        <v>40423.599999999999</v>
      </c>
      <c r="I443" t="s">
        <v>11</v>
      </c>
    </row>
    <row r="444" spans="1:9" x14ac:dyDescent="0.2">
      <c r="A444" t="s">
        <v>41</v>
      </c>
      <c r="B444" t="s">
        <v>10</v>
      </c>
      <c r="C444" s="3">
        <v>43431</v>
      </c>
      <c r="D444" s="3">
        <v>43431</v>
      </c>
      <c r="E444" s="3">
        <v>43439</v>
      </c>
      <c r="F444" s="3"/>
      <c r="G444">
        <v>5505.3</v>
      </c>
      <c r="H444">
        <v>6386.15</v>
      </c>
      <c r="I444" t="s">
        <v>11</v>
      </c>
    </row>
    <row r="445" spans="1:9" x14ac:dyDescent="0.2">
      <c r="A445" t="s">
        <v>20</v>
      </c>
      <c r="B445" t="s">
        <v>10</v>
      </c>
      <c r="C445" s="3">
        <v>43430</v>
      </c>
      <c r="D445" s="3">
        <v>43430</v>
      </c>
      <c r="E445" s="3">
        <v>43475</v>
      </c>
      <c r="F445" s="3"/>
      <c r="G445">
        <v>15060</v>
      </c>
      <c r="H445">
        <v>17469.599999999999</v>
      </c>
      <c r="I445" t="s">
        <v>11</v>
      </c>
    </row>
    <row r="446" spans="1:9" x14ac:dyDescent="0.2">
      <c r="A446" t="s">
        <v>18</v>
      </c>
      <c r="B446" t="s">
        <v>10</v>
      </c>
      <c r="C446" s="3">
        <v>43430</v>
      </c>
      <c r="D446" s="3">
        <v>43430</v>
      </c>
      <c r="E446" s="3">
        <v>43460</v>
      </c>
      <c r="F446" s="3"/>
      <c r="G446">
        <v>5600</v>
      </c>
      <c r="H446">
        <v>6496</v>
      </c>
      <c r="I446" t="s">
        <v>11</v>
      </c>
    </row>
    <row r="447" spans="1:9" x14ac:dyDescent="0.2">
      <c r="A447" t="s">
        <v>18</v>
      </c>
      <c r="B447" t="s">
        <v>10</v>
      </c>
      <c r="C447" s="3">
        <v>43427</v>
      </c>
      <c r="D447" s="3">
        <v>43427</v>
      </c>
      <c r="E447" s="3">
        <v>43457</v>
      </c>
      <c r="F447" s="3"/>
      <c r="G447">
        <v>7092</v>
      </c>
      <c r="H447">
        <v>8226.7199999999993</v>
      </c>
      <c r="I447" t="s">
        <v>11</v>
      </c>
    </row>
    <row r="448" spans="1:9" x14ac:dyDescent="0.2">
      <c r="A448" t="s">
        <v>18</v>
      </c>
      <c r="B448" t="s">
        <v>10</v>
      </c>
      <c r="C448" s="3">
        <v>43425</v>
      </c>
      <c r="D448" s="3">
        <v>43425</v>
      </c>
      <c r="E448" s="3">
        <v>43455</v>
      </c>
      <c r="F448" s="3"/>
      <c r="G448">
        <v>7518</v>
      </c>
      <c r="H448">
        <v>8720.8799999999992</v>
      </c>
      <c r="I448" t="s">
        <v>11</v>
      </c>
    </row>
    <row r="449" spans="1:9" x14ac:dyDescent="0.2">
      <c r="A449" t="s">
        <v>18</v>
      </c>
      <c r="B449" t="s">
        <v>10</v>
      </c>
      <c r="C449" s="3">
        <v>43424</v>
      </c>
      <c r="D449" s="3">
        <v>43424</v>
      </c>
      <c r="E449" s="3">
        <v>43454</v>
      </c>
      <c r="F449" s="3"/>
      <c r="G449">
        <v>8266</v>
      </c>
      <c r="H449">
        <v>9588.56</v>
      </c>
      <c r="I449" t="s">
        <v>11</v>
      </c>
    </row>
    <row r="450" spans="1:9" x14ac:dyDescent="0.2">
      <c r="A450" t="s">
        <v>22</v>
      </c>
      <c r="B450" t="s">
        <v>10</v>
      </c>
      <c r="C450" s="3">
        <v>43419</v>
      </c>
      <c r="D450" s="3">
        <v>43419</v>
      </c>
      <c r="E450" s="3">
        <v>43449</v>
      </c>
      <c r="F450" s="3"/>
      <c r="G450">
        <v>125377</v>
      </c>
      <c r="H450">
        <v>145437</v>
      </c>
      <c r="I450" t="s">
        <v>11</v>
      </c>
    </row>
    <row r="451" spans="1:9" x14ac:dyDescent="0.2">
      <c r="A451" t="s">
        <v>22</v>
      </c>
      <c r="B451" t="s">
        <v>10</v>
      </c>
      <c r="C451" s="3">
        <v>43419</v>
      </c>
      <c r="D451" s="3">
        <v>43419</v>
      </c>
      <c r="E451" s="3">
        <v>43449</v>
      </c>
      <c r="F451" s="3"/>
      <c r="G451">
        <v>3705</v>
      </c>
      <c r="H451">
        <v>4297.8</v>
      </c>
      <c r="I451" t="s">
        <v>11</v>
      </c>
    </row>
    <row r="452" spans="1:9" x14ac:dyDescent="0.2">
      <c r="A452" t="s">
        <v>41</v>
      </c>
      <c r="B452" t="s">
        <v>10</v>
      </c>
      <c r="C452" s="3">
        <v>43418</v>
      </c>
      <c r="D452" s="3">
        <v>43418</v>
      </c>
      <c r="E452" s="3">
        <v>43426</v>
      </c>
      <c r="F452" s="3"/>
      <c r="G452">
        <v>4185.92</v>
      </c>
      <c r="H452">
        <v>4855.67</v>
      </c>
      <c r="I452" t="s">
        <v>11</v>
      </c>
    </row>
    <row r="453" spans="1:9" x14ac:dyDescent="0.2">
      <c r="A453" t="s">
        <v>41</v>
      </c>
      <c r="B453" t="s">
        <v>10</v>
      </c>
      <c r="C453" s="3">
        <v>43418</v>
      </c>
      <c r="D453" s="3">
        <v>43418</v>
      </c>
      <c r="E453" s="3">
        <v>43426</v>
      </c>
      <c r="F453" s="3"/>
      <c r="G453">
        <v>10403.799999999999</v>
      </c>
      <c r="H453">
        <v>12068.4</v>
      </c>
      <c r="I453" t="s">
        <v>11</v>
      </c>
    </row>
    <row r="454" spans="1:9" x14ac:dyDescent="0.2">
      <c r="A454" t="s">
        <v>41</v>
      </c>
      <c r="B454" t="s">
        <v>10</v>
      </c>
      <c r="C454" s="3">
        <v>43418</v>
      </c>
      <c r="D454" s="3">
        <v>43418</v>
      </c>
      <c r="E454" s="3">
        <v>43426</v>
      </c>
      <c r="F454" s="3"/>
      <c r="G454">
        <v>21396.9</v>
      </c>
      <c r="H454">
        <v>24820.400000000001</v>
      </c>
      <c r="I454" t="s">
        <v>11</v>
      </c>
    </row>
    <row r="455" spans="1:9" x14ac:dyDescent="0.2">
      <c r="A455" t="s">
        <v>41</v>
      </c>
      <c r="B455" t="s">
        <v>10</v>
      </c>
      <c r="C455" s="3">
        <v>43418</v>
      </c>
      <c r="D455" s="3">
        <v>43418</v>
      </c>
      <c r="E455" s="3">
        <v>43426</v>
      </c>
      <c r="F455" s="3"/>
      <c r="G455">
        <v>17312.599999999999</v>
      </c>
      <c r="H455">
        <v>20082.599999999999</v>
      </c>
      <c r="I455" t="s">
        <v>11</v>
      </c>
    </row>
    <row r="456" spans="1:9" x14ac:dyDescent="0.2">
      <c r="A456" t="s">
        <v>41</v>
      </c>
      <c r="B456" t="s">
        <v>10</v>
      </c>
      <c r="C456" s="3">
        <v>43418</v>
      </c>
      <c r="D456" s="3">
        <v>43418</v>
      </c>
      <c r="E456" s="3">
        <v>43426</v>
      </c>
      <c r="F456" s="3"/>
      <c r="G456">
        <v>29260.799999999999</v>
      </c>
      <c r="H456">
        <v>33942.5</v>
      </c>
      <c r="I456" t="s">
        <v>11</v>
      </c>
    </row>
    <row r="457" spans="1:9" x14ac:dyDescent="0.2">
      <c r="A457" t="s">
        <v>41</v>
      </c>
      <c r="B457" t="s">
        <v>10</v>
      </c>
      <c r="C457" s="3">
        <v>43418</v>
      </c>
      <c r="D457" s="3">
        <v>43418</v>
      </c>
      <c r="E457" s="3">
        <v>43426</v>
      </c>
      <c r="F457" s="3"/>
      <c r="G457">
        <v>3718.56</v>
      </c>
      <c r="H457">
        <v>4313.53</v>
      </c>
      <c r="I457" t="s">
        <v>11</v>
      </c>
    </row>
    <row r="458" spans="1:9" x14ac:dyDescent="0.2">
      <c r="A458" t="s">
        <v>41</v>
      </c>
      <c r="B458" t="s">
        <v>10</v>
      </c>
      <c r="C458" s="3">
        <v>43418</v>
      </c>
      <c r="D458" s="3">
        <v>43418</v>
      </c>
      <c r="E458" s="3">
        <v>43426</v>
      </c>
      <c r="F458" s="3"/>
      <c r="G458">
        <v>6827.52</v>
      </c>
      <c r="H458">
        <v>7919.92</v>
      </c>
      <c r="I458" t="s">
        <v>11</v>
      </c>
    </row>
    <row r="459" spans="1:9" x14ac:dyDescent="0.2">
      <c r="A459" t="s">
        <v>41</v>
      </c>
      <c r="B459" t="s">
        <v>10</v>
      </c>
      <c r="C459" s="3">
        <v>43418</v>
      </c>
      <c r="D459" s="3">
        <v>43418</v>
      </c>
      <c r="E459" s="3">
        <v>43426</v>
      </c>
      <c r="F459" s="3"/>
      <c r="G459">
        <v>2783.84</v>
      </c>
      <c r="H459">
        <v>3229.25</v>
      </c>
      <c r="I459" t="s">
        <v>11</v>
      </c>
    </row>
    <row r="460" spans="1:9" x14ac:dyDescent="0.2">
      <c r="A460" t="s">
        <v>41</v>
      </c>
      <c r="B460" t="s">
        <v>10</v>
      </c>
      <c r="C460" s="3">
        <v>43418</v>
      </c>
      <c r="D460" s="3">
        <v>43418</v>
      </c>
      <c r="E460" s="3">
        <v>43426</v>
      </c>
      <c r="F460" s="3"/>
      <c r="G460">
        <v>5445.76</v>
      </c>
      <c r="H460">
        <v>6317.08</v>
      </c>
      <c r="I460" t="s">
        <v>11</v>
      </c>
    </row>
    <row r="461" spans="1:9" x14ac:dyDescent="0.2">
      <c r="A461" t="s">
        <v>41</v>
      </c>
      <c r="B461" t="s">
        <v>10</v>
      </c>
      <c r="C461" s="3">
        <v>43418</v>
      </c>
      <c r="D461" s="3">
        <v>43418</v>
      </c>
      <c r="E461" s="3">
        <v>43426</v>
      </c>
      <c r="F461" s="3"/>
      <c r="G461">
        <v>1463.04</v>
      </c>
      <c r="H461">
        <v>1697.13</v>
      </c>
      <c r="I461" t="s">
        <v>11</v>
      </c>
    </row>
    <row r="462" spans="1:9" x14ac:dyDescent="0.2">
      <c r="A462" t="s">
        <v>41</v>
      </c>
      <c r="B462" t="s">
        <v>10</v>
      </c>
      <c r="C462" s="3">
        <v>43417</v>
      </c>
      <c r="D462" s="3">
        <v>43417</v>
      </c>
      <c r="E462" s="3">
        <v>43425</v>
      </c>
      <c r="F462" s="3"/>
      <c r="G462">
        <v>4642.08</v>
      </c>
      <c r="H462">
        <v>5384.81</v>
      </c>
      <c r="I462" t="s">
        <v>11</v>
      </c>
    </row>
    <row r="463" spans="1:9" x14ac:dyDescent="0.2">
      <c r="A463" t="s">
        <v>18</v>
      </c>
      <c r="B463" t="s">
        <v>10</v>
      </c>
      <c r="C463" s="3">
        <v>43410</v>
      </c>
      <c r="D463" s="3">
        <v>43410</v>
      </c>
      <c r="E463" s="3">
        <v>43440</v>
      </c>
      <c r="F463" s="3"/>
      <c r="G463">
        <v>2576</v>
      </c>
      <c r="H463">
        <v>2988.16</v>
      </c>
      <c r="I463" t="s">
        <v>11</v>
      </c>
    </row>
    <row r="464" spans="1:9" x14ac:dyDescent="0.2">
      <c r="A464" t="s">
        <v>41</v>
      </c>
      <c r="B464" t="s">
        <v>10</v>
      </c>
      <c r="C464" s="3">
        <v>43405</v>
      </c>
      <c r="D464" s="3">
        <v>43405</v>
      </c>
      <c r="E464" s="3">
        <v>43413</v>
      </c>
      <c r="F464" s="3"/>
      <c r="G464">
        <v>38738</v>
      </c>
      <c r="H464">
        <v>44936.1</v>
      </c>
      <c r="I464" t="s">
        <v>11</v>
      </c>
    </row>
    <row r="465" spans="1:9" x14ac:dyDescent="0.2">
      <c r="A465" t="s">
        <v>21</v>
      </c>
      <c r="B465" t="s">
        <v>10</v>
      </c>
      <c r="C465" s="3">
        <v>43404</v>
      </c>
      <c r="D465" s="3">
        <v>43404</v>
      </c>
      <c r="E465" s="3">
        <v>43411</v>
      </c>
      <c r="F465" s="3"/>
      <c r="G465">
        <v>440</v>
      </c>
      <c r="H465">
        <v>510.4</v>
      </c>
      <c r="I465" t="s">
        <v>11</v>
      </c>
    </row>
    <row r="466" spans="1:9" x14ac:dyDescent="0.2">
      <c r="A466" t="s">
        <v>41</v>
      </c>
      <c r="B466" t="s">
        <v>10</v>
      </c>
      <c r="C466" s="3">
        <v>43404</v>
      </c>
      <c r="D466" s="3">
        <v>43404</v>
      </c>
      <c r="E466" s="3">
        <v>43412</v>
      </c>
      <c r="F466" s="3"/>
      <c r="G466">
        <v>13899.6</v>
      </c>
      <c r="H466">
        <v>16123.5</v>
      </c>
      <c r="I466" t="s">
        <v>11</v>
      </c>
    </row>
    <row r="467" spans="1:9" x14ac:dyDescent="0.2">
      <c r="A467" t="s">
        <v>41</v>
      </c>
      <c r="B467" t="s">
        <v>10</v>
      </c>
      <c r="C467" s="3">
        <v>43404</v>
      </c>
      <c r="D467" s="3">
        <v>43404</v>
      </c>
      <c r="E467" s="3">
        <v>43412</v>
      </c>
      <c r="F467" s="3"/>
      <c r="G467">
        <v>28512</v>
      </c>
      <c r="H467">
        <v>33073.9</v>
      </c>
      <c r="I467" t="s">
        <v>11</v>
      </c>
    </row>
    <row r="468" spans="1:9" x14ac:dyDescent="0.2">
      <c r="A468" t="s">
        <v>19</v>
      </c>
      <c r="B468" t="s">
        <v>10</v>
      </c>
      <c r="C468" s="3">
        <v>43399</v>
      </c>
      <c r="D468" s="3">
        <v>43399</v>
      </c>
      <c r="E468" s="3">
        <v>43414</v>
      </c>
      <c r="F468" s="3"/>
      <c r="G468">
        <v>45516</v>
      </c>
      <c r="H468">
        <v>52798.5</v>
      </c>
      <c r="I468" t="s">
        <v>11</v>
      </c>
    </row>
    <row r="469" spans="1:9" x14ac:dyDescent="0.2">
      <c r="A469" t="s">
        <v>18</v>
      </c>
      <c r="B469" t="s">
        <v>10</v>
      </c>
      <c r="C469" s="3">
        <v>43398</v>
      </c>
      <c r="D469" s="3">
        <v>43398</v>
      </c>
      <c r="E469" s="3">
        <v>43428</v>
      </c>
      <c r="F469" s="3"/>
      <c r="G469">
        <v>45496</v>
      </c>
      <c r="H469">
        <v>52775.3</v>
      </c>
      <c r="I469" t="s">
        <v>11</v>
      </c>
    </row>
    <row r="470" spans="1:9" x14ac:dyDescent="0.2">
      <c r="A470" t="s">
        <v>18</v>
      </c>
      <c r="B470" t="s">
        <v>10</v>
      </c>
      <c r="C470" s="3">
        <v>43398</v>
      </c>
      <c r="D470" s="3">
        <v>43398</v>
      </c>
      <c r="E470" s="3">
        <v>43428</v>
      </c>
      <c r="F470" s="3"/>
      <c r="G470">
        <v>22284</v>
      </c>
      <c r="H470">
        <v>25849.4</v>
      </c>
      <c r="I470" t="s">
        <v>11</v>
      </c>
    </row>
    <row r="471" spans="1:9" x14ac:dyDescent="0.2">
      <c r="A471" t="s">
        <v>21</v>
      </c>
      <c r="B471" t="s">
        <v>10</v>
      </c>
      <c r="C471" s="3">
        <v>43398</v>
      </c>
      <c r="D471" s="3">
        <v>43398</v>
      </c>
      <c r="E471" s="3">
        <v>43405</v>
      </c>
      <c r="F471" s="3"/>
      <c r="G471">
        <v>1250</v>
      </c>
      <c r="H471">
        <v>1450</v>
      </c>
      <c r="I471" t="s">
        <v>11</v>
      </c>
    </row>
    <row r="472" spans="1:9" x14ac:dyDescent="0.2">
      <c r="A472" t="s">
        <v>21</v>
      </c>
      <c r="B472" t="s">
        <v>10</v>
      </c>
      <c r="C472" s="3">
        <v>43398</v>
      </c>
      <c r="D472" s="3">
        <v>43398</v>
      </c>
      <c r="E472" s="3">
        <v>43405</v>
      </c>
      <c r="F472" s="3"/>
      <c r="G472">
        <v>11640</v>
      </c>
      <c r="H472">
        <v>13502.4</v>
      </c>
      <c r="I472" t="s">
        <v>11</v>
      </c>
    </row>
    <row r="473" spans="1:9" x14ac:dyDescent="0.2">
      <c r="A473" t="s">
        <v>41</v>
      </c>
      <c r="B473" t="s">
        <v>10</v>
      </c>
      <c r="C473" s="3">
        <v>43398</v>
      </c>
      <c r="D473" s="3">
        <v>43398</v>
      </c>
      <c r="E473" s="3">
        <v>43406</v>
      </c>
      <c r="F473" s="3"/>
      <c r="G473">
        <v>71116</v>
      </c>
      <c r="H473">
        <v>82494.600000000006</v>
      </c>
      <c r="I473" t="s">
        <v>11</v>
      </c>
    </row>
    <row r="474" spans="1:9" x14ac:dyDescent="0.2">
      <c r="A474" t="s">
        <v>20</v>
      </c>
      <c r="B474" t="s">
        <v>10</v>
      </c>
      <c r="C474" s="3">
        <v>43397</v>
      </c>
      <c r="D474" s="3">
        <v>43397</v>
      </c>
      <c r="E474" s="3">
        <v>43442</v>
      </c>
      <c r="F474" s="3"/>
      <c r="G474">
        <v>47502</v>
      </c>
      <c r="H474">
        <v>55102.3</v>
      </c>
      <c r="I474" t="s">
        <v>11</v>
      </c>
    </row>
    <row r="475" spans="1:9" x14ac:dyDescent="0.2">
      <c r="A475" t="s">
        <v>19</v>
      </c>
      <c r="B475" t="s">
        <v>10</v>
      </c>
      <c r="C475" s="3">
        <v>43396</v>
      </c>
      <c r="D475" s="3">
        <v>43396</v>
      </c>
      <c r="E475" s="3">
        <v>43411</v>
      </c>
      <c r="F475" s="3"/>
      <c r="G475">
        <v>2800</v>
      </c>
      <c r="H475">
        <v>3248</v>
      </c>
      <c r="I475" t="s">
        <v>11</v>
      </c>
    </row>
    <row r="476" spans="1:9" x14ac:dyDescent="0.2">
      <c r="A476" t="s">
        <v>18</v>
      </c>
      <c r="B476" t="s">
        <v>10</v>
      </c>
      <c r="C476" s="3">
        <v>43395</v>
      </c>
      <c r="D476" s="3">
        <v>43395</v>
      </c>
      <c r="E476" s="3">
        <v>43425</v>
      </c>
      <c r="F476" s="3"/>
      <c r="G476">
        <v>5686</v>
      </c>
      <c r="H476">
        <v>6595.76</v>
      </c>
      <c r="I476" t="s">
        <v>11</v>
      </c>
    </row>
    <row r="477" spans="1:9" x14ac:dyDescent="0.2">
      <c r="A477" t="s">
        <v>18</v>
      </c>
      <c r="B477" t="s">
        <v>10</v>
      </c>
      <c r="C477" s="3">
        <v>43395</v>
      </c>
      <c r="D477" s="3">
        <v>43395</v>
      </c>
      <c r="E477" s="3">
        <v>43425</v>
      </c>
      <c r="F477" s="3"/>
      <c r="G477">
        <v>3672</v>
      </c>
      <c r="H477">
        <v>4259.5200000000004</v>
      </c>
      <c r="I477" t="s">
        <v>11</v>
      </c>
    </row>
    <row r="478" spans="1:9" x14ac:dyDescent="0.2">
      <c r="A478" t="s">
        <v>19</v>
      </c>
      <c r="B478" t="s">
        <v>10</v>
      </c>
      <c r="C478" s="3">
        <v>43391</v>
      </c>
      <c r="D478" s="3">
        <v>43391</v>
      </c>
      <c r="E478" s="3">
        <v>43406</v>
      </c>
      <c r="F478" s="3"/>
      <c r="G478">
        <v>4528</v>
      </c>
      <c r="H478">
        <v>5252.48</v>
      </c>
      <c r="I478" t="s">
        <v>11</v>
      </c>
    </row>
    <row r="479" spans="1:9" x14ac:dyDescent="0.2">
      <c r="A479" t="s">
        <v>41</v>
      </c>
      <c r="B479" t="s">
        <v>10</v>
      </c>
      <c r="C479" s="3">
        <v>43391</v>
      </c>
      <c r="D479" s="3">
        <v>43391</v>
      </c>
      <c r="E479" s="3">
        <v>43399</v>
      </c>
      <c r="F479" s="3"/>
      <c r="G479">
        <v>14865.8</v>
      </c>
      <c r="H479">
        <v>17244.3</v>
      </c>
      <c r="I479" t="s">
        <v>11</v>
      </c>
    </row>
    <row r="480" spans="1:9" x14ac:dyDescent="0.2">
      <c r="A480" t="s">
        <v>41</v>
      </c>
      <c r="B480" t="s">
        <v>10</v>
      </c>
      <c r="C480" s="3">
        <v>43390</v>
      </c>
      <c r="D480" s="3">
        <v>43390</v>
      </c>
      <c r="E480" s="3">
        <v>43398</v>
      </c>
      <c r="F480" s="3"/>
      <c r="G480">
        <v>76669.5</v>
      </c>
      <c r="H480">
        <v>88936.6</v>
      </c>
      <c r="I480" t="s">
        <v>11</v>
      </c>
    </row>
    <row r="481" spans="1:9" x14ac:dyDescent="0.2">
      <c r="A481" t="s">
        <v>18</v>
      </c>
      <c r="B481" t="s">
        <v>10</v>
      </c>
      <c r="C481" s="3">
        <v>43389</v>
      </c>
      <c r="D481" s="3">
        <v>43389</v>
      </c>
      <c r="E481" s="3">
        <v>43419</v>
      </c>
      <c r="F481" s="3"/>
      <c r="G481">
        <v>1386</v>
      </c>
      <c r="H481">
        <v>1607.76</v>
      </c>
      <c r="I481" t="s">
        <v>11</v>
      </c>
    </row>
    <row r="482" spans="1:9" x14ac:dyDescent="0.2">
      <c r="A482" t="s">
        <v>9</v>
      </c>
      <c r="B482" t="s">
        <v>10</v>
      </c>
      <c r="C482" s="3">
        <v>43389</v>
      </c>
      <c r="D482" s="3">
        <v>43389</v>
      </c>
      <c r="E482" s="3">
        <v>43396</v>
      </c>
      <c r="F482" s="3"/>
      <c r="G482">
        <v>4360</v>
      </c>
      <c r="H482">
        <v>5057.6000000000004</v>
      </c>
      <c r="I482" t="s">
        <v>11</v>
      </c>
    </row>
    <row r="483" spans="1:9" x14ac:dyDescent="0.2">
      <c r="A483" t="s">
        <v>43</v>
      </c>
      <c r="B483" t="s">
        <v>10</v>
      </c>
      <c r="C483" s="3">
        <v>43389</v>
      </c>
      <c r="D483" s="3">
        <v>43389</v>
      </c>
      <c r="E483" s="3">
        <v>43391</v>
      </c>
      <c r="F483" s="3"/>
      <c r="G483">
        <v>910</v>
      </c>
      <c r="H483">
        <v>1055.5999999999999</v>
      </c>
      <c r="I483" t="s">
        <v>11</v>
      </c>
    </row>
    <row r="484" spans="1:9" x14ac:dyDescent="0.2">
      <c r="A484" t="s">
        <v>18</v>
      </c>
      <c r="B484" t="s">
        <v>10</v>
      </c>
      <c r="C484" s="3">
        <v>43389</v>
      </c>
      <c r="D484" s="3">
        <v>43389</v>
      </c>
      <c r="E484" s="3">
        <v>43419</v>
      </c>
      <c r="F484" s="3"/>
      <c r="G484">
        <v>16700</v>
      </c>
      <c r="H484">
        <v>19372</v>
      </c>
      <c r="I484" t="s">
        <v>11</v>
      </c>
    </row>
    <row r="485" spans="1:9" x14ac:dyDescent="0.2">
      <c r="A485" t="s">
        <v>21</v>
      </c>
      <c r="B485" t="s">
        <v>10</v>
      </c>
      <c r="C485" s="3">
        <v>43389</v>
      </c>
      <c r="D485" s="3">
        <v>43389</v>
      </c>
      <c r="E485" s="3">
        <v>43396</v>
      </c>
      <c r="F485" s="3"/>
      <c r="G485">
        <v>6384</v>
      </c>
      <c r="H485">
        <v>7405.44</v>
      </c>
      <c r="I485" t="s">
        <v>11</v>
      </c>
    </row>
    <row r="486" spans="1:9" x14ac:dyDescent="0.2">
      <c r="A486" t="s">
        <v>41</v>
      </c>
      <c r="B486" t="s">
        <v>10</v>
      </c>
      <c r="C486" s="3">
        <v>43385</v>
      </c>
      <c r="D486" s="3">
        <v>43385</v>
      </c>
      <c r="E486" s="3">
        <v>43393</v>
      </c>
      <c r="F486" s="3"/>
      <c r="G486">
        <v>36901.599999999999</v>
      </c>
      <c r="H486">
        <v>42805.8</v>
      </c>
      <c r="I486" t="s">
        <v>11</v>
      </c>
    </row>
    <row r="487" spans="1:9" x14ac:dyDescent="0.2">
      <c r="A487" t="s">
        <v>44</v>
      </c>
      <c r="B487" t="s">
        <v>10</v>
      </c>
      <c r="C487" s="3">
        <v>43385</v>
      </c>
      <c r="D487" s="3">
        <v>43385</v>
      </c>
      <c r="E487" s="3">
        <v>43392</v>
      </c>
      <c r="F487" s="3"/>
      <c r="G487">
        <v>1204.56</v>
      </c>
      <c r="H487">
        <v>1397.29</v>
      </c>
      <c r="I487" t="s">
        <v>11</v>
      </c>
    </row>
    <row r="488" spans="1:9" x14ac:dyDescent="0.2">
      <c r="A488" t="s">
        <v>25</v>
      </c>
      <c r="B488" t="s">
        <v>10</v>
      </c>
      <c r="C488" s="3">
        <v>43384</v>
      </c>
      <c r="D488" s="3">
        <v>43384</v>
      </c>
      <c r="E488" s="3">
        <v>43414</v>
      </c>
      <c r="F488" s="3"/>
      <c r="G488">
        <v>13472</v>
      </c>
      <c r="H488">
        <v>15627.5</v>
      </c>
      <c r="I488" t="s">
        <v>11</v>
      </c>
    </row>
    <row r="489" spans="1:9" x14ac:dyDescent="0.2">
      <c r="A489" t="s">
        <v>17</v>
      </c>
      <c r="B489" t="s">
        <v>10</v>
      </c>
      <c r="C489" s="3">
        <v>43382</v>
      </c>
      <c r="D489" s="3">
        <v>43382</v>
      </c>
      <c r="E489" s="3">
        <v>43427</v>
      </c>
      <c r="F489" s="3"/>
      <c r="G489">
        <v>25202</v>
      </c>
      <c r="H489">
        <v>29234.3</v>
      </c>
      <c r="I489" t="s">
        <v>11</v>
      </c>
    </row>
    <row r="490" spans="1:9" x14ac:dyDescent="0.2">
      <c r="A490" t="s">
        <v>21</v>
      </c>
      <c r="B490" t="s">
        <v>10</v>
      </c>
      <c r="C490" s="3">
        <v>43381</v>
      </c>
      <c r="D490" s="3">
        <v>43381</v>
      </c>
      <c r="E490" s="3">
        <v>43388</v>
      </c>
      <c r="F490" s="3"/>
      <c r="G490">
        <v>4892</v>
      </c>
      <c r="H490">
        <v>5674.72</v>
      </c>
      <c r="I490" t="s">
        <v>11</v>
      </c>
    </row>
    <row r="491" spans="1:9" x14ac:dyDescent="0.2">
      <c r="A491" t="s">
        <v>20</v>
      </c>
      <c r="B491" t="s">
        <v>10</v>
      </c>
      <c r="C491" s="3">
        <v>43381</v>
      </c>
      <c r="D491" s="3">
        <v>43381</v>
      </c>
      <c r="E491" s="3">
        <v>43426</v>
      </c>
      <c r="F491" s="3"/>
      <c r="G491">
        <v>28339</v>
      </c>
      <c r="H491">
        <v>32873.199999999997</v>
      </c>
      <c r="I491" t="s">
        <v>11</v>
      </c>
    </row>
    <row r="492" spans="1:9" x14ac:dyDescent="0.2">
      <c r="A492" t="s">
        <v>21</v>
      </c>
      <c r="B492" t="s">
        <v>10</v>
      </c>
      <c r="C492" s="3">
        <v>43381</v>
      </c>
      <c r="D492" s="3">
        <v>43381</v>
      </c>
      <c r="E492" s="3">
        <v>43388</v>
      </c>
      <c r="F492" s="3"/>
      <c r="G492">
        <v>10218</v>
      </c>
      <c r="H492">
        <v>11852.8</v>
      </c>
      <c r="I492" t="s">
        <v>11</v>
      </c>
    </row>
    <row r="493" spans="1:9" x14ac:dyDescent="0.2">
      <c r="A493" t="s">
        <v>21</v>
      </c>
      <c r="B493" t="s">
        <v>10</v>
      </c>
      <c r="C493" s="3">
        <v>43378</v>
      </c>
      <c r="D493" s="3">
        <v>43378</v>
      </c>
      <c r="E493" s="3">
        <v>43385</v>
      </c>
      <c r="F493" s="3"/>
      <c r="G493">
        <v>2610</v>
      </c>
      <c r="H493">
        <v>3027.6</v>
      </c>
      <c r="I493" t="s">
        <v>11</v>
      </c>
    </row>
    <row r="494" spans="1:9" x14ac:dyDescent="0.2">
      <c r="A494" t="s">
        <v>17</v>
      </c>
      <c r="B494" t="s">
        <v>10</v>
      </c>
      <c r="C494" s="3">
        <v>43378</v>
      </c>
      <c r="D494" s="3">
        <v>43378</v>
      </c>
      <c r="E494" s="3">
        <v>43423</v>
      </c>
      <c r="F494" s="3"/>
      <c r="G494">
        <v>25202</v>
      </c>
      <c r="H494">
        <v>29234.3</v>
      </c>
      <c r="I494" t="s">
        <v>11</v>
      </c>
    </row>
    <row r="495" spans="1:9" x14ac:dyDescent="0.2">
      <c r="A495" t="s">
        <v>17</v>
      </c>
      <c r="B495" t="s">
        <v>10</v>
      </c>
      <c r="C495" s="3">
        <v>43378</v>
      </c>
      <c r="D495" s="3">
        <v>43378</v>
      </c>
      <c r="E495" s="3">
        <v>43423</v>
      </c>
      <c r="F495" s="3"/>
      <c r="G495">
        <v>25202</v>
      </c>
      <c r="H495">
        <v>29234.3</v>
      </c>
      <c r="I495" t="s">
        <v>11</v>
      </c>
    </row>
    <row r="496" spans="1:9" x14ac:dyDescent="0.2">
      <c r="A496" t="s">
        <v>45</v>
      </c>
      <c r="B496" t="s">
        <v>10</v>
      </c>
      <c r="C496" s="3">
        <v>43376</v>
      </c>
      <c r="D496" s="3">
        <v>43376</v>
      </c>
      <c r="E496" s="3">
        <v>43376</v>
      </c>
      <c r="F496" s="3"/>
      <c r="G496">
        <v>44626</v>
      </c>
      <c r="H496">
        <v>51766.1</v>
      </c>
      <c r="I496" t="s">
        <v>11</v>
      </c>
    </row>
    <row r="497" spans="1:9" x14ac:dyDescent="0.2">
      <c r="A497" t="s">
        <v>17</v>
      </c>
      <c r="B497" t="s">
        <v>10</v>
      </c>
      <c r="C497" s="3">
        <v>43375</v>
      </c>
      <c r="D497" s="3">
        <v>43375</v>
      </c>
      <c r="E497" s="3">
        <v>43420</v>
      </c>
      <c r="F497" s="3"/>
      <c r="G497">
        <v>25202</v>
      </c>
      <c r="H497">
        <v>29234.3</v>
      </c>
      <c r="I497" t="s">
        <v>11</v>
      </c>
    </row>
    <row r="498" spans="1:9" x14ac:dyDescent="0.2">
      <c r="A498" t="s">
        <v>12</v>
      </c>
      <c r="B498" t="s">
        <v>10</v>
      </c>
      <c r="C498" s="3">
        <v>43371</v>
      </c>
      <c r="D498" s="3">
        <v>43371</v>
      </c>
      <c r="E498" s="3">
        <v>43401</v>
      </c>
      <c r="F498" s="3"/>
      <c r="G498">
        <v>102078</v>
      </c>
      <c r="H498">
        <v>102078</v>
      </c>
      <c r="I498" t="s">
        <v>11</v>
      </c>
    </row>
    <row r="499" spans="1:9" x14ac:dyDescent="0.2">
      <c r="A499" t="s">
        <v>17</v>
      </c>
      <c r="B499" t="s">
        <v>10</v>
      </c>
      <c r="C499" s="3">
        <v>43371</v>
      </c>
      <c r="D499" s="3">
        <v>43371</v>
      </c>
      <c r="E499" s="3">
        <v>43416</v>
      </c>
      <c r="F499" s="3"/>
      <c r="G499">
        <v>25202</v>
      </c>
      <c r="H499">
        <v>29234.3</v>
      </c>
      <c r="I499" t="s">
        <v>11</v>
      </c>
    </row>
    <row r="500" spans="1:9" x14ac:dyDescent="0.2">
      <c r="A500" t="s">
        <v>46</v>
      </c>
      <c r="B500" t="s">
        <v>10</v>
      </c>
      <c r="C500" s="3">
        <v>43370</v>
      </c>
      <c r="D500" s="3">
        <v>43370</v>
      </c>
      <c r="E500" s="3">
        <v>43377</v>
      </c>
      <c r="F500" s="3"/>
      <c r="G500">
        <v>1329.3</v>
      </c>
      <c r="H500">
        <v>1541.99</v>
      </c>
      <c r="I500" t="s">
        <v>11</v>
      </c>
    </row>
    <row r="501" spans="1:9" x14ac:dyDescent="0.2">
      <c r="A501" t="s">
        <v>41</v>
      </c>
      <c r="B501" t="s">
        <v>10</v>
      </c>
      <c r="C501" s="3">
        <v>43370</v>
      </c>
      <c r="D501" s="3">
        <v>43370</v>
      </c>
      <c r="E501" s="3">
        <v>43378</v>
      </c>
      <c r="F501" s="3"/>
      <c r="G501">
        <v>21173.8</v>
      </c>
      <c r="H501">
        <v>24561.599999999999</v>
      </c>
      <c r="I501" t="s">
        <v>11</v>
      </c>
    </row>
    <row r="502" spans="1:9" x14ac:dyDescent="0.2">
      <c r="A502" t="s">
        <v>41</v>
      </c>
      <c r="B502" t="s">
        <v>10</v>
      </c>
      <c r="C502" s="3">
        <v>43370</v>
      </c>
      <c r="D502" s="3">
        <v>43370</v>
      </c>
      <c r="E502" s="3">
        <v>43378</v>
      </c>
      <c r="F502" s="3"/>
      <c r="G502">
        <v>4044.87</v>
      </c>
      <c r="H502">
        <v>4692.05</v>
      </c>
      <c r="I502" t="s">
        <v>11</v>
      </c>
    </row>
    <row r="503" spans="1:9" x14ac:dyDescent="0.2">
      <c r="A503" t="s">
        <v>41</v>
      </c>
      <c r="B503" t="s">
        <v>10</v>
      </c>
      <c r="C503" s="3">
        <v>43370</v>
      </c>
      <c r="D503" s="3">
        <v>43370</v>
      </c>
      <c r="E503" s="3">
        <v>43378</v>
      </c>
      <c r="F503" s="3"/>
      <c r="G503">
        <v>7520.04</v>
      </c>
      <c r="H503">
        <v>8723.25</v>
      </c>
      <c r="I503" t="s">
        <v>11</v>
      </c>
    </row>
    <row r="504" spans="1:9" x14ac:dyDescent="0.2">
      <c r="A504" t="s">
        <v>18</v>
      </c>
      <c r="B504" t="s">
        <v>10</v>
      </c>
      <c r="C504" s="3">
        <v>43369</v>
      </c>
      <c r="D504" s="3">
        <v>43369</v>
      </c>
      <c r="E504" s="3">
        <v>43399</v>
      </c>
      <c r="F504" s="3"/>
      <c r="G504">
        <v>14124</v>
      </c>
      <c r="H504">
        <v>16383.8</v>
      </c>
      <c r="I504" t="s">
        <v>11</v>
      </c>
    </row>
    <row r="505" spans="1:9" x14ac:dyDescent="0.2">
      <c r="A505" t="s">
        <v>19</v>
      </c>
      <c r="B505" t="s">
        <v>10</v>
      </c>
      <c r="C505" s="3">
        <v>43369</v>
      </c>
      <c r="D505" s="3">
        <v>43369</v>
      </c>
      <c r="E505" s="3">
        <v>43384</v>
      </c>
      <c r="F505" s="3"/>
      <c r="G505">
        <v>6792</v>
      </c>
      <c r="H505">
        <v>7878.72</v>
      </c>
      <c r="I505" t="s">
        <v>11</v>
      </c>
    </row>
    <row r="506" spans="1:9" x14ac:dyDescent="0.2">
      <c r="A506" t="s">
        <v>18</v>
      </c>
      <c r="B506" t="s">
        <v>10</v>
      </c>
      <c r="C506" s="3">
        <v>43369</v>
      </c>
      <c r="D506" s="3">
        <v>43369</v>
      </c>
      <c r="E506" s="3">
        <v>43399</v>
      </c>
      <c r="F506" s="3"/>
      <c r="G506">
        <v>4050</v>
      </c>
      <c r="H506">
        <v>4698</v>
      </c>
      <c r="I506" t="s">
        <v>11</v>
      </c>
    </row>
    <row r="507" spans="1:9" x14ac:dyDescent="0.2">
      <c r="A507" t="s">
        <v>18</v>
      </c>
      <c r="B507" t="s">
        <v>10</v>
      </c>
      <c r="C507" s="3">
        <v>43368</v>
      </c>
      <c r="D507" s="3">
        <v>43368</v>
      </c>
      <c r="E507" s="3">
        <v>43398</v>
      </c>
      <c r="F507" s="3"/>
      <c r="G507">
        <v>26528</v>
      </c>
      <c r="H507">
        <v>30772.400000000001</v>
      </c>
      <c r="I507" t="s">
        <v>11</v>
      </c>
    </row>
    <row r="508" spans="1:9" x14ac:dyDescent="0.2">
      <c r="A508" t="s">
        <v>19</v>
      </c>
      <c r="B508" t="s">
        <v>10</v>
      </c>
      <c r="C508" s="3">
        <v>43368</v>
      </c>
      <c r="D508" s="3">
        <v>43368</v>
      </c>
      <c r="E508" s="3">
        <v>43383</v>
      </c>
      <c r="F508" s="3"/>
      <c r="G508">
        <v>29480</v>
      </c>
      <c r="H508">
        <v>34196.800000000003</v>
      </c>
      <c r="I508" t="s">
        <v>11</v>
      </c>
    </row>
    <row r="509" spans="1:9" x14ac:dyDescent="0.2">
      <c r="A509" t="s">
        <v>19</v>
      </c>
      <c r="B509" t="s">
        <v>10</v>
      </c>
      <c r="C509" s="3">
        <v>43368</v>
      </c>
      <c r="D509" s="3">
        <v>43368</v>
      </c>
      <c r="E509" s="3">
        <v>43383</v>
      </c>
      <c r="F509" s="3"/>
      <c r="G509">
        <v>29480</v>
      </c>
      <c r="H509">
        <v>34196.800000000003</v>
      </c>
      <c r="I509" t="s">
        <v>11</v>
      </c>
    </row>
    <row r="510" spans="1:9" x14ac:dyDescent="0.2">
      <c r="A510" t="s">
        <v>24</v>
      </c>
      <c r="B510" t="s">
        <v>10</v>
      </c>
      <c r="C510" s="3">
        <v>43364</v>
      </c>
      <c r="D510" s="3">
        <v>43364</v>
      </c>
      <c r="E510" s="3">
        <v>43364</v>
      </c>
      <c r="F510" s="3"/>
      <c r="G510">
        <v>4160</v>
      </c>
      <c r="H510">
        <v>4825.6000000000004</v>
      </c>
      <c r="I510" t="s">
        <v>11</v>
      </c>
    </row>
    <row r="511" spans="1:9" x14ac:dyDescent="0.2">
      <c r="A511" t="s">
        <v>9</v>
      </c>
      <c r="B511" t="s">
        <v>10</v>
      </c>
      <c r="C511" s="3">
        <v>43364</v>
      </c>
      <c r="D511" s="3">
        <v>43364</v>
      </c>
      <c r="E511" s="3">
        <v>43371</v>
      </c>
      <c r="F511" s="3"/>
      <c r="G511">
        <v>26346</v>
      </c>
      <c r="H511">
        <v>30561.3</v>
      </c>
      <c r="I511" t="s">
        <v>11</v>
      </c>
    </row>
    <row r="512" spans="1:9" x14ac:dyDescent="0.2">
      <c r="A512" t="s">
        <v>41</v>
      </c>
      <c r="B512" t="s">
        <v>10</v>
      </c>
      <c r="C512" s="3">
        <v>43363</v>
      </c>
      <c r="D512" s="3">
        <v>43363</v>
      </c>
      <c r="E512" s="3">
        <v>43371</v>
      </c>
      <c r="F512" s="3"/>
      <c r="G512">
        <v>13739.6</v>
      </c>
      <c r="H512">
        <v>15937.9</v>
      </c>
      <c r="I512" t="s">
        <v>11</v>
      </c>
    </row>
    <row r="513" spans="1:9" x14ac:dyDescent="0.2">
      <c r="A513" t="s">
        <v>41</v>
      </c>
      <c r="B513" t="s">
        <v>10</v>
      </c>
      <c r="C513" s="3">
        <v>43363</v>
      </c>
      <c r="D513" s="3">
        <v>43363</v>
      </c>
      <c r="E513" s="3">
        <v>43371</v>
      </c>
      <c r="F513" s="3"/>
      <c r="G513">
        <v>24100.6</v>
      </c>
      <c r="H513">
        <v>27956.7</v>
      </c>
      <c r="I513" t="s">
        <v>11</v>
      </c>
    </row>
    <row r="514" spans="1:9" x14ac:dyDescent="0.2">
      <c r="A514" t="s">
        <v>41</v>
      </c>
      <c r="B514" t="s">
        <v>10</v>
      </c>
      <c r="C514" s="3">
        <v>43362</v>
      </c>
      <c r="D514" s="3">
        <v>43362</v>
      </c>
      <c r="E514" s="3">
        <v>43370</v>
      </c>
      <c r="F514" s="3"/>
      <c r="G514">
        <v>13414</v>
      </c>
      <c r="H514">
        <v>15560.3</v>
      </c>
      <c r="I514" t="s">
        <v>11</v>
      </c>
    </row>
    <row r="515" spans="1:9" x14ac:dyDescent="0.2">
      <c r="A515" t="s">
        <v>18</v>
      </c>
      <c r="B515" t="s">
        <v>10</v>
      </c>
      <c r="C515" s="3">
        <v>43361</v>
      </c>
      <c r="D515" s="3">
        <v>43361</v>
      </c>
      <c r="E515" s="3">
        <v>43391</v>
      </c>
      <c r="F515" s="3"/>
      <c r="G515">
        <v>8266</v>
      </c>
      <c r="H515">
        <v>9588.56</v>
      </c>
      <c r="I515" t="s">
        <v>11</v>
      </c>
    </row>
    <row r="516" spans="1:9" x14ac:dyDescent="0.2">
      <c r="A516" t="s">
        <v>41</v>
      </c>
      <c r="B516" t="s">
        <v>10</v>
      </c>
      <c r="C516" s="3">
        <v>43361</v>
      </c>
      <c r="D516" s="3">
        <v>43361</v>
      </c>
      <c r="E516" s="3">
        <v>43369</v>
      </c>
      <c r="F516" s="3"/>
      <c r="G516">
        <v>10001.1</v>
      </c>
      <c r="H516">
        <v>11601.2</v>
      </c>
      <c r="I516" t="s">
        <v>11</v>
      </c>
    </row>
    <row r="517" spans="1:9" x14ac:dyDescent="0.2">
      <c r="A517" t="s">
        <v>41</v>
      </c>
      <c r="B517" t="s">
        <v>10</v>
      </c>
      <c r="C517" s="3">
        <v>43361</v>
      </c>
      <c r="D517" s="3">
        <v>43361</v>
      </c>
      <c r="E517" s="3">
        <v>43369</v>
      </c>
      <c r="F517" s="3"/>
      <c r="G517">
        <v>82197.7</v>
      </c>
      <c r="H517">
        <v>95349.3</v>
      </c>
      <c r="I517" t="s">
        <v>11</v>
      </c>
    </row>
    <row r="518" spans="1:9" x14ac:dyDescent="0.2">
      <c r="A518" t="s">
        <v>20</v>
      </c>
      <c r="B518" t="s">
        <v>10</v>
      </c>
      <c r="C518" s="3">
        <v>43361</v>
      </c>
      <c r="D518" s="3">
        <v>43361</v>
      </c>
      <c r="E518" s="3">
        <v>43406</v>
      </c>
      <c r="F518" s="3"/>
      <c r="G518">
        <v>35527</v>
      </c>
      <c r="H518">
        <v>41211.300000000003</v>
      </c>
      <c r="I518" t="s">
        <v>11</v>
      </c>
    </row>
    <row r="519" spans="1:9" x14ac:dyDescent="0.2">
      <c r="A519" t="s">
        <v>41</v>
      </c>
      <c r="B519" t="s">
        <v>10</v>
      </c>
      <c r="C519" s="3">
        <v>43357</v>
      </c>
      <c r="D519" s="3">
        <v>43357</v>
      </c>
      <c r="E519" s="3">
        <v>43365</v>
      </c>
      <c r="F519" s="3"/>
      <c r="G519">
        <v>17430.7</v>
      </c>
      <c r="H519">
        <v>20219.599999999999</v>
      </c>
      <c r="I519" t="s">
        <v>11</v>
      </c>
    </row>
    <row r="520" spans="1:9" x14ac:dyDescent="0.2">
      <c r="A520" t="s">
        <v>41</v>
      </c>
      <c r="B520" t="s">
        <v>10</v>
      </c>
      <c r="C520" s="3">
        <v>43357</v>
      </c>
      <c r="D520" s="3">
        <v>43357</v>
      </c>
      <c r="E520" s="3">
        <v>43365</v>
      </c>
      <c r="F520" s="3"/>
      <c r="G520">
        <v>3771.9</v>
      </c>
      <c r="H520">
        <v>4375.3999999999996</v>
      </c>
      <c r="I520" t="s">
        <v>11</v>
      </c>
    </row>
    <row r="521" spans="1:9" x14ac:dyDescent="0.2">
      <c r="A521" t="s">
        <v>36</v>
      </c>
      <c r="B521" t="s">
        <v>10</v>
      </c>
      <c r="C521" s="3">
        <v>43356</v>
      </c>
      <c r="D521" s="3">
        <v>43356</v>
      </c>
      <c r="E521" s="3">
        <v>43371</v>
      </c>
      <c r="F521" s="3"/>
      <c r="G521">
        <v>2800</v>
      </c>
      <c r="H521">
        <v>3248</v>
      </c>
      <c r="I521" t="s">
        <v>11</v>
      </c>
    </row>
    <row r="522" spans="1:9" x14ac:dyDescent="0.2">
      <c r="A522" t="s">
        <v>9</v>
      </c>
      <c r="B522" t="s">
        <v>10</v>
      </c>
      <c r="C522" s="3">
        <v>43355</v>
      </c>
      <c r="D522" s="3">
        <v>43355</v>
      </c>
      <c r="E522" s="3">
        <v>43362</v>
      </c>
      <c r="F522" s="3"/>
      <c r="G522">
        <v>25230</v>
      </c>
      <c r="H522">
        <v>29266.799999999999</v>
      </c>
      <c r="I522" t="s">
        <v>11</v>
      </c>
    </row>
    <row r="523" spans="1:9" x14ac:dyDescent="0.2">
      <c r="A523" t="s">
        <v>41</v>
      </c>
      <c r="B523" t="s">
        <v>10</v>
      </c>
      <c r="C523" s="3">
        <v>43354</v>
      </c>
      <c r="D523" s="3">
        <v>43354</v>
      </c>
      <c r="E523" s="3">
        <v>43362</v>
      </c>
      <c r="F523" s="3"/>
      <c r="G523">
        <v>3347.76</v>
      </c>
      <c r="H523">
        <v>3883.4</v>
      </c>
      <c r="I523" t="s">
        <v>11</v>
      </c>
    </row>
    <row r="524" spans="1:9" x14ac:dyDescent="0.2">
      <c r="A524" t="s">
        <v>41</v>
      </c>
      <c r="B524" t="s">
        <v>10</v>
      </c>
      <c r="C524" s="3">
        <v>43354</v>
      </c>
      <c r="D524" s="3">
        <v>43354</v>
      </c>
      <c r="E524" s="3">
        <v>43362</v>
      </c>
      <c r="F524" s="3"/>
      <c r="G524">
        <v>2193.36</v>
      </c>
      <c r="H524">
        <v>2544.3000000000002</v>
      </c>
      <c r="I524" t="s">
        <v>11</v>
      </c>
    </row>
    <row r="525" spans="1:9" x14ac:dyDescent="0.2">
      <c r="A525" t="s">
        <v>39</v>
      </c>
      <c r="B525" t="s">
        <v>10</v>
      </c>
      <c r="C525" s="3">
        <v>43353</v>
      </c>
      <c r="D525" s="3">
        <v>43353</v>
      </c>
      <c r="E525" s="3">
        <v>43361</v>
      </c>
      <c r="F525" s="3"/>
      <c r="G525">
        <v>13078.7</v>
      </c>
      <c r="H525">
        <v>15171.3</v>
      </c>
      <c r="I525" t="s">
        <v>11</v>
      </c>
    </row>
    <row r="526" spans="1:9" x14ac:dyDescent="0.2">
      <c r="A526" t="s">
        <v>25</v>
      </c>
      <c r="B526" t="s">
        <v>10</v>
      </c>
      <c r="C526" s="3">
        <v>43350</v>
      </c>
      <c r="D526" s="3">
        <v>43350</v>
      </c>
      <c r="E526" s="3">
        <v>43380</v>
      </c>
      <c r="F526" s="3"/>
      <c r="G526">
        <v>12904</v>
      </c>
      <c r="H526">
        <v>14968.6</v>
      </c>
      <c r="I526" t="s">
        <v>11</v>
      </c>
    </row>
    <row r="527" spans="1:9" x14ac:dyDescent="0.2">
      <c r="A527" t="s">
        <v>18</v>
      </c>
      <c r="B527" t="s">
        <v>10</v>
      </c>
      <c r="C527" s="3">
        <v>43349</v>
      </c>
      <c r="D527" s="3">
        <v>43349</v>
      </c>
      <c r="E527" s="3">
        <v>43379</v>
      </c>
      <c r="F527" s="3"/>
      <c r="G527">
        <v>11528</v>
      </c>
      <c r="H527">
        <v>13372.4</v>
      </c>
      <c r="I527" t="s">
        <v>11</v>
      </c>
    </row>
    <row r="528" spans="1:9" x14ac:dyDescent="0.2">
      <c r="A528" t="s">
        <v>41</v>
      </c>
      <c r="B528" t="s">
        <v>10</v>
      </c>
      <c r="C528" s="3">
        <v>43348</v>
      </c>
      <c r="D528" s="3">
        <v>43348</v>
      </c>
      <c r="E528" s="3">
        <v>43356</v>
      </c>
      <c r="F528" s="3"/>
      <c r="G528">
        <v>13869.6</v>
      </c>
      <c r="H528">
        <v>16088.7</v>
      </c>
      <c r="I528" t="s">
        <v>11</v>
      </c>
    </row>
    <row r="529" spans="1:9" x14ac:dyDescent="0.2">
      <c r="A529" t="s">
        <v>21</v>
      </c>
      <c r="B529" t="s">
        <v>10</v>
      </c>
      <c r="C529" s="3">
        <v>43346</v>
      </c>
      <c r="D529" s="3">
        <v>43346</v>
      </c>
      <c r="E529" s="3">
        <v>43353</v>
      </c>
      <c r="F529" s="3"/>
      <c r="G529">
        <v>42203</v>
      </c>
      <c r="H529">
        <v>48955.4</v>
      </c>
      <c r="I529" t="s">
        <v>11</v>
      </c>
    </row>
    <row r="530" spans="1:9" x14ac:dyDescent="0.2">
      <c r="A530" t="s">
        <v>9</v>
      </c>
      <c r="B530" t="s">
        <v>10</v>
      </c>
      <c r="C530" s="3">
        <v>43346</v>
      </c>
      <c r="D530" s="3">
        <v>43342</v>
      </c>
      <c r="E530" s="3">
        <v>43353</v>
      </c>
      <c r="F530" s="3"/>
      <c r="G530">
        <v>7636</v>
      </c>
      <c r="H530">
        <v>8857.76</v>
      </c>
      <c r="I530" t="s">
        <v>11</v>
      </c>
    </row>
    <row r="531" spans="1:9" x14ac:dyDescent="0.2">
      <c r="A531" t="s">
        <v>41</v>
      </c>
      <c r="B531" t="s">
        <v>10</v>
      </c>
      <c r="C531" s="3">
        <v>43346</v>
      </c>
      <c r="D531" s="3">
        <v>43346</v>
      </c>
      <c r="E531" s="3">
        <v>43354</v>
      </c>
      <c r="F531" s="3"/>
      <c r="G531">
        <v>9354.57</v>
      </c>
      <c r="H531">
        <v>10851.3</v>
      </c>
      <c r="I531" t="s">
        <v>11</v>
      </c>
    </row>
    <row r="532" spans="1:9" x14ac:dyDescent="0.2">
      <c r="A532" t="s">
        <v>21</v>
      </c>
      <c r="B532" t="s">
        <v>10</v>
      </c>
      <c r="C532" s="3">
        <v>43346</v>
      </c>
      <c r="D532" s="3">
        <v>43346</v>
      </c>
      <c r="E532" s="3">
        <v>43353</v>
      </c>
      <c r="F532" s="3"/>
      <c r="G532">
        <v>14846</v>
      </c>
      <c r="H532">
        <v>17221.3</v>
      </c>
      <c r="I532" t="s">
        <v>11</v>
      </c>
    </row>
    <row r="533" spans="1:9" x14ac:dyDescent="0.2">
      <c r="A533" t="s">
        <v>21</v>
      </c>
      <c r="B533" t="s">
        <v>10</v>
      </c>
      <c r="C533" s="3">
        <v>43343</v>
      </c>
      <c r="D533" s="3">
        <v>43343</v>
      </c>
      <c r="E533" s="3">
        <v>43350</v>
      </c>
      <c r="F533" s="3"/>
      <c r="G533">
        <v>131040</v>
      </c>
      <c r="H533">
        <v>152006</v>
      </c>
      <c r="I533" t="s">
        <v>11</v>
      </c>
    </row>
    <row r="534" spans="1:9" x14ac:dyDescent="0.2">
      <c r="A534" t="s">
        <v>21</v>
      </c>
      <c r="B534" t="s">
        <v>10</v>
      </c>
      <c r="C534" s="3">
        <v>43343</v>
      </c>
      <c r="D534" s="3">
        <v>43343</v>
      </c>
      <c r="E534" s="3">
        <v>43350</v>
      </c>
      <c r="F534" s="3"/>
      <c r="G534">
        <v>131040</v>
      </c>
      <c r="H534">
        <v>152006</v>
      </c>
      <c r="I534" t="s">
        <v>11</v>
      </c>
    </row>
    <row r="535" spans="1:9" x14ac:dyDescent="0.2">
      <c r="A535" t="s">
        <v>21</v>
      </c>
      <c r="B535" t="s">
        <v>10</v>
      </c>
      <c r="C535" s="3">
        <v>43343</v>
      </c>
      <c r="D535" s="3">
        <v>43343</v>
      </c>
      <c r="E535" s="3">
        <v>43350</v>
      </c>
      <c r="F535" s="3"/>
      <c r="G535">
        <v>131040</v>
      </c>
      <c r="H535">
        <v>152006</v>
      </c>
      <c r="I535" t="s">
        <v>11</v>
      </c>
    </row>
    <row r="536" spans="1:9" x14ac:dyDescent="0.2">
      <c r="A536" t="s">
        <v>21</v>
      </c>
      <c r="B536" t="s">
        <v>10</v>
      </c>
      <c r="C536" s="3">
        <v>43343</v>
      </c>
      <c r="D536" s="3">
        <v>43343</v>
      </c>
      <c r="E536" s="3">
        <v>43350</v>
      </c>
      <c r="F536" s="3"/>
      <c r="G536">
        <v>131040</v>
      </c>
      <c r="H536">
        <v>152006</v>
      </c>
      <c r="I536" t="s">
        <v>11</v>
      </c>
    </row>
    <row r="537" spans="1:9" x14ac:dyDescent="0.2">
      <c r="A537" t="s">
        <v>21</v>
      </c>
      <c r="B537" t="s">
        <v>10</v>
      </c>
      <c r="C537" s="3">
        <v>43343</v>
      </c>
      <c r="D537" s="3">
        <v>43343</v>
      </c>
      <c r="E537" s="3">
        <v>43350</v>
      </c>
      <c r="F537" s="3"/>
      <c r="G537">
        <v>122940</v>
      </c>
      <c r="H537">
        <v>142610</v>
      </c>
      <c r="I537" t="s">
        <v>11</v>
      </c>
    </row>
    <row r="538" spans="1:9" x14ac:dyDescent="0.2">
      <c r="A538" t="s">
        <v>21</v>
      </c>
      <c r="B538" t="s">
        <v>10</v>
      </c>
      <c r="C538" s="3">
        <v>43343</v>
      </c>
      <c r="D538" s="3">
        <v>43343</v>
      </c>
      <c r="E538" s="3">
        <v>43350</v>
      </c>
      <c r="F538" s="3"/>
      <c r="G538">
        <v>122940</v>
      </c>
      <c r="H538">
        <v>142610</v>
      </c>
      <c r="I538" t="s">
        <v>11</v>
      </c>
    </row>
    <row r="539" spans="1:9" x14ac:dyDescent="0.2">
      <c r="A539" t="s">
        <v>21</v>
      </c>
      <c r="B539" t="s">
        <v>10</v>
      </c>
      <c r="C539" s="3">
        <v>43343</v>
      </c>
      <c r="D539" s="3">
        <v>43343</v>
      </c>
      <c r="E539" s="3">
        <v>43350</v>
      </c>
      <c r="F539" s="3"/>
      <c r="G539">
        <v>122940</v>
      </c>
      <c r="H539">
        <v>142610</v>
      </c>
      <c r="I539" t="s">
        <v>11</v>
      </c>
    </row>
    <row r="540" spans="1:9" x14ac:dyDescent="0.2">
      <c r="A540" t="s">
        <v>18</v>
      </c>
      <c r="B540" t="s">
        <v>10</v>
      </c>
      <c r="C540" s="3">
        <v>43343</v>
      </c>
      <c r="D540" s="3">
        <v>43343</v>
      </c>
      <c r="E540" s="3">
        <v>43373</v>
      </c>
      <c r="F540" s="3"/>
      <c r="G540">
        <v>12490</v>
      </c>
      <c r="H540">
        <v>14488.4</v>
      </c>
      <c r="I540" t="s">
        <v>11</v>
      </c>
    </row>
    <row r="541" spans="1:9" x14ac:dyDescent="0.2">
      <c r="A541" t="s">
        <v>21</v>
      </c>
      <c r="B541" t="s">
        <v>10</v>
      </c>
      <c r="C541" s="3">
        <v>43341</v>
      </c>
      <c r="D541" s="3">
        <v>43341</v>
      </c>
      <c r="E541" s="3">
        <v>43348</v>
      </c>
      <c r="F541" s="3"/>
      <c r="G541">
        <v>122940</v>
      </c>
      <c r="H541">
        <v>142610</v>
      </c>
      <c r="I541" t="s">
        <v>11</v>
      </c>
    </row>
    <row r="542" spans="1:9" x14ac:dyDescent="0.2">
      <c r="A542" t="s">
        <v>21</v>
      </c>
      <c r="B542" t="s">
        <v>10</v>
      </c>
      <c r="C542" s="3">
        <v>43341</v>
      </c>
      <c r="D542" s="3">
        <v>43341</v>
      </c>
      <c r="E542" s="3">
        <v>43348</v>
      </c>
      <c r="F542" s="3"/>
      <c r="G542">
        <v>117936</v>
      </c>
      <c r="H542">
        <v>136805</v>
      </c>
      <c r="I542" t="s">
        <v>11</v>
      </c>
    </row>
    <row r="543" spans="1:9" x14ac:dyDescent="0.2">
      <c r="A543" t="s">
        <v>21</v>
      </c>
      <c r="B543" t="s">
        <v>10</v>
      </c>
      <c r="C543" s="3">
        <v>43341</v>
      </c>
      <c r="D543" s="3">
        <v>43341</v>
      </c>
      <c r="E543" s="3">
        <v>43348</v>
      </c>
      <c r="F543" s="3"/>
      <c r="G543">
        <v>110646</v>
      </c>
      <c r="H543">
        <v>128349</v>
      </c>
      <c r="I543" t="s">
        <v>11</v>
      </c>
    </row>
    <row r="544" spans="1:9" x14ac:dyDescent="0.2">
      <c r="A544" t="s">
        <v>41</v>
      </c>
      <c r="B544" t="s">
        <v>10</v>
      </c>
      <c r="C544" s="3">
        <v>43341</v>
      </c>
      <c r="D544" s="3">
        <v>43341</v>
      </c>
      <c r="E544" s="3">
        <v>43349</v>
      </c>
      <c r="F544" s="3"/>
      <c r="G544">
        <v>25552.3</v>
      </c>
      <c r="H544">
        <v>29640.6</v>
      </c>
      <c r="I544" t="s">
        <v>11</v>
      </c>
    </row>
    <row r="545" spans="1:9" x14ac:dyDescent="0.2">
      <c r="A545" t="s">
        <v>41</v>
      </c>
      <c r="B545" t="s">
        <v>10</v>
      </c>
      <c r="C545" s="3">
        <v>43340</v>
      </c>
      <c r="D545" s="3">
        <v>43340</v>
      </c>
      <c r="E545" s="3">
        <v>43348</v>
      </c>
      <c r="F545" s="3"/>
      <c r="G545">
        <v>18980.599999999999</v>
      </c>
      <c r="H545">
        <v>22017.5</v>
      </c>
      <c r="I545" t="s">
        <v>11</v>
      </c>
    </row>
    <row r="546" spans="1:9" x14ac:dyDescent="0.2">
      <c r="A546" t="s">
        <v>18</v>
      </c>
      <c r="B546" t="s">
        <v>10</v>
      </c>
      <c r="C546" s="3">
        <v>43339</v>
      </c>
      <c r="D546" s="3">
        <v>43339</v>
      </c>
      <c r="E546" s="3">
        <v>43369</v>
      </c>
      <c r="F546" s="3"/>
      <c r="G546">
        <v>29480</v>
      </c>
      <c r="H546">
        <v>34196.800000000003</v>
      </c>
      <c r="I546" t="s">
        <v>11</v>
      </c>
    </row>
    <row r="547" spans="1:9" x14ac:dyDescent="0.2">
      <c r="A547" t="s">
        <v>41</v>
      </c>
      <c r="B547" t="s">
        <v>10</v>
      </c>
      <c r="C547" s="3">
        <v>43339</v>
      </c>
      <c r="D547" s="3">
        <v>43339</v>
      </c>
      <c r="E547" s="3">
        <v>43347</v>
      </c>
      <c r="F547" s="3"/>
      <c r="G547">
        <v>8831.16</v>
      </c>
      <c r="H547">
        <v>10244.1</v>
      </c>
      <c r="I547" t="s">
        <v>11</v>
      </c>
    </row>
    <row r="548" spans="1:9" x14ac:dyDescent="0.2">
      <c r="A548" t="s">
        <v>18</v>
      </c>
      <c r="B548" t="s">
        <v>10</v>
      </c>
      <c r="C548" s="3">
        <v>43339</v>
      </c>
      <c r="D548" s="3">
        <v>43339</v>
      </c>
      <c r="E548" s="3">
        <v>43369</v>
      </c>
      <c r="F548" s="3"/>
      <c r="G548">
        <v>29480</v>
      </c>
      <c r="H548">
        <v>34196.800000000003</v>
      </c>
      <c r="I548" t="s">
        <v>11</v>
      </c>
    </row>
    <row r="549" spans="1:9" x14ac:dyDescent="0.2">
      <c r="A549" t="s">
        <v>41</v>
      </c>
      <c r="B549" t="s">
        <v>10</v>
      </c>
      <c r="C549" s="3">
        <v>43339</v>
      </c>
      <c r="D549" s="3">
        <v>43339</v>
      </c>
      <c r="E549" s="3">
        <v>43347</v>
      </c>
      <c r="F549" s="3"/>
      <c r="G549">
        <v>6698.85</v>
      </c>
      <c r="H549">
        <v>7770.67</v>
      </c>
      <c r="I549" t="s">
        <v>11</v>
      </c>
    </row>
    <row r="550" spans="1:9" x14ac:dyDescent="0.2">
      <c r="A550" t="s">
        <v>41</v>
      </c>
      <c r="B550" t="s">
        <v>10</v>
      </c>
      <c r="C550" s="3">
        <v>43339</v>
      </c>
      <c r="D550" s="3">
        <v>43339</v>
      </c>
      <c r="E550" s="3">
        <v>43347</v>
      </c>
      <c r="F550" s="3"/>
      <c r="G550">
        <v>6623.37</v>
      </c>
      <c r="H550">
        <v>7683.11</v>
      </c>
      <c r="I550" t="s">
        <v>11</v>
      </c>
    </row>
    <row r="551" spans="1:9" x14ac:dyDescent="0.2">
      <c r="A551" t="s">
        <v>41</v>
      </c>
      <c r="B551" t="s">
        <v>10</v>
      </c>
      <c r="C551" s="3">
        <v>43339</v>
      </c>
      <c r="D551" s="3">
        <v>43339</v>
      </c>
      <c r="E551" s="3">
        <v>43347</v>
      </c>
      <c r="F551" s="3"/>
      <c r="G551">
        <v>13812.8</v>
      </c>
      <c r="H551">
        <v>16022.8</v>
      </c>
      <c r="I551" t="s">
        <v>11</v>
      </c>
    </row>
    <row r="552" spans="1:9" x14ac:dyDescent="0.2">
      <c r="A552" t="s">
        <v>41</v>
      </c>
      <c r="B552" t="s">
        <v>10</v>
      </c>
      <c r="C552" s="3">
        <v>43336</v>
      </c>
      <c r="D552" s="3">
        <v>43336</v>
      </c>
      <c r="E552" s="3">
        <v>43344</v>
      </c>
      <c r="F552" s="3"/>
      <c r="G552">
        <v>6605.82</v>
      </c>
      <c r="H552">
        <v>7662.75</v>
      </c>
      <c r="I552" t="s">
        <v>11</v>
      </c>
    </row>
    <row r="553" spans="1:9" x14ac:dyDescent="0.2">
      <c r="A553" t="s">
        <v>36</v>
      </c>
      <c r="B553" t="s">
        <v>10</v>
      </c>
      <c r="C553" s="3">
        <v>43336</v>
      </c>
      <c r="D553" s="3">
        <v>43336</v>
      </c>
      <c r="E553" s="3">
        <v>43351</v>
      </c>
      <c r="F553" s="3"/>
      <c r="G553">
        <v>800</v>
      </c>
      <c r="H553">
        <v>928</v>
      </c>
      <c r="I553" t="s">
        <v>11</v>
      </c>
    </row>
    <row r="554" spans="1:9" x14ac:dyDescent="0.2">
      <c r="A554" t="s">
        <v>13</v>
      </c>
      <c r="B554" t="s">
        <v>10</v>
      </c>
      <c r="C554" s="3">
        <v>43335</v>
      </c>
      <c r="D554" s="3">
        <v>43335</v>
      </c>
      <c r="E554" s="3">
        <v>43365</v>
      </c>
      <c r="F554" s="3"/>
      <c r="G554">
        <v>221180</v>
      </c>
      <c r="H554">
        <v>256568</v>
      </c>
      <c r="I554" t="s">
        <v>11</v>
      </c>
    </row>
    <row r="555" spans="1:9" x14ac:dyDescent="0.2">
      <c r="A555" t="s">
        <v>41</v>
      </c>
      <c r="B555" t="s">
        <v>10</v>
      </c>
      <c r="C555" s="3">
        <v>43335</v>
      </c>
      <c r="D555" s="3">
        <v>43335</v>
      </c>
      <c r="E555" s="3">
        <v>43343</v>
      </c>
      <c r="F555" s="3"/>
      <c r="G555">
        <v>6343.68</v>
      </c>
      <c r="H555">
        <v>7358.67</v>
      </c>
      <c r="I555" t="s">
        <v>11</v>
      </c>
    </row>
    <row r="556" spans="1:9" x14ac:dyDescent="0.2">
      <c r="A556" t="s">
        <v>20</v>
      </c>
      <c r="B556" t="s">
        <v>10</v>
      </c>
      <c r="C556" s="3">
        <v>43333</v>
      </c>
      <c r="D556" s="3">
        <v>43333</v>
      </c>
      <c r="E556" s="3">
        <v>43378</v>
      </c>
      <c r="F556" s="3"/>
      <c r="G556">
        <v>25908</v>
      </c>
      <c r="H556">
        <v>30053.200000000001</v>
      </c>
      <c r="I556" t="s">
        <v>11</v>
      </c>
    </row>
    <row r="557" spans="1:9" x14ac:dyDescent="0.2">
      <c r="A557" t="s">
        <v>25</v>
      </c>
      <c r="B557" t="s">
        <v>10</v>
      </c>
      <c r="C557" s="3">
        <v>43333</v>
      </c>
      <c r="D557" s="3">
        <v>43333</v>
      </c>
      <c r="E557" s="3">
        <v>43363</v>
      </c>
      <c r="F557" s="3"/>
      <c r="G557">
        <v>10500</v>
      </c>
      <c r="H557">
        <v>12180</v>
      </c>
      <c r="I557" t="s">
        <v>11</v>
      </c>
    </row>
    <row r="558" spans="1:9" x14ac:dyDescent="0.2">
      <c r="A558" t="s">
        <v>41</v>
      </c>
      <c r="B558" t="s">
        <v>10</v>
      </c>
      <c r="C558" s="3">
        <v>43333</v>
      </c>
      <c r="D558" s="3">
        <v>43333</v>
      </c>
      <c r="E558" s="3">
        <v>43341</v>
      </c>
      <c r="F558" s="3"/>
      <c r="G558">
        <v>15909</v>
      </c>
      <c r="H558">
        <v>18454.5</v>
      </c>
      <c r="I558" t="s">
        <v>11</v>
      </c>
    </row>
    <row r="559" spans="1:9" x14ac:dyDescent="0.2">
      <c r="A559" t="s">
        <v>21</v>
      </c>
      <c r="B559" t="s">
        <v>10</v>
      </c>
      <c r="C559" s="3">
        <v>43332</v>
      </c>
      <c r="D559" s="3">
        <v>43332</v>
      </c>
      <c r="E559" s="3">
        <v>43339</v>
      </c>
      <c r="F559" s="3"/>
      <c r="G559">
        <v>17094</v>
      </c>
      <c r="H559">
        <v>19829</v>
      </c>
      <c r="I559" t="s">
        <v>11</v>
      </c>
    </row>
    <row r="560" spans="1:9" x14ac:dyDescent="0.2">
      <c r="A560" t="s">
        <v>23</v>
      </c>
      <c r="B560" t="s">
        <v>10</v>
      </c>
      <c r="C560" s="3">
        <v>43329</v>
      </c>
      <c r="D560" s="3">
        <v>43329</v>
      </c>
      <c r="E560" s="3">
        <v>43389</v>
      </c>
      <c r="F560" s="3"/>
      <c r="G560">
        <v>2925</v>
      </c>
      <c r="H560">
        <v>3393</v>
      </c>
      <c r="I560" t="s">
        <v>11</v>
      </c>
    </row>
    <row r="561" spans="1:9" x14ac:dyDescent="0.2">
      <c r="A561" t="s">
        <v>36</v>
      </c>
      <c r="B561" t="s">
        <v>10</v>
      </c>
      <c r="C561" s="3">
        <v>43328</v>
      </c>
      <c r="D561" s="3">
        <v>43297</v>
      </c>
      <c r="E561" s="3">
        <v>43343</v>
      </c>
      <c r="F561" s="3"/>
      <c r="G561">
        <v>3168</v>
      </c>
      <c r="H561">
        <v>3674.88</v>
      </c>
      <c r="I561" t="s">
        <v>11</v>
      </c>
    </row>
    <row r="562" spans="1:9" x14ac:dyDescent="0.2">
      <c r="A562" t="s">
        <v>48</v>
      </c>
      <c r="B562" t="s">
        <v>10</v>
      </c>
      <c r="C562" s="3">
        <v>43328</v>
      </c>
      <c r="D562" s="3">
        <v>43328</v>
      </c>
      <c r="E562" s="3">
        <v>43335</v>
      </c>
      <c r="F562" s="3"/>
      <c r="G562">
        <v>1750</v>
      </c>
      <c r="H562">
        <v>2030</v>
      </c>
      <c r="I562" t="s">
        <v>11</v>
      </c>
    </row>
    <row r="563" spans="1:9" x14ac:dyDescent="0.2">
      <c r="A563" t="s">
        <v>41</v>
      </c>
      <c r="B563" t="s">
        <v>10</v>
      </c>
      <c r="C563" s="3">
        <v>43328</v>
      </c>
      <c r="D563" s="3">
        <v>43328</v>
      </c>
      <c r="E563" s="3">
        <v>43336</v>
      </c>
      <c r="F563" s="3"/>
      <c r="G563">
        <v>18791</v>
      </c>
      <c r="H563">
        <v>21797.5</v>
      </c>
      <c r="I563" t="s">
        <v>11</v>
      </c>
    </row>
    <row r="564" spans="1:9" x14ac:dyDescent="0.2">
      <c r="A564" t="s">
        <v>25</v>
      </c>
      <c r="B564" t="s">
        <v>10</v>
      </c>
      <c r="C564" s="3">
        <v>43328</v>
      </c>
      <c r="D564" s="3">
        <v>43328</v>
      </c>
      <c r="E564" s="3">
        <v>43358</v>
      </c>
      <c r="F564" s="3"/>
      <c r="G564">
        <v>784</v>
      </c>
      <c r="H564">
        <v>909.44</v>
      </c>
      <c r="I564" t="s">
        <v>11</v>
      </c>
    </row>
    <row r="565" spans="1:9" x14ac:dyDescent="0.2">
      <c r="A565" t="s">
        <v>49</v>
      </c>
      <c r="B565" t="s">
        <v>10</v>
      </c>
      <c r="C565" s="3">
        <v>43327</v>
      </c>
      <c r="D565" s="3">
        <v>43327</v>
      </c>
      <c r="E565" s="3">
        <v>43334</v>
      </c>
      <c r="F565" s="3"/>
      <c r="G565">
        <v>8267</v>
      </c>
      <c r="H565">
        <v>9589.7199999999993</v>
      </c>
      <c r="I565" t="s">
        <v>11</v>
      </c>
    </row>
    <row r="566" spans="1:9" x14ac:dyDescent="0.2">
      <c r="A566" t="s">
        <v>20</v>
      </c>
      <c r="B566" t="s">
        <v>10</v>
      </c>
      <c r="C566" s="3">
        <v>43327</v>
      </c>
      <c r="D566" s="3">
        <v>43327</v>
      </c>
      <c r="E566" s="3">
        <v>43372</v>
      </c>
      <c r="F566" s="3"/>
      <c r="G566">
        <v>43154</v>
      </c>
      <c r="H566">
        <v>50058.6</v>
      </c>
      <c r="I566" t="s">
        <v>11</v>
      </c>
    </row>
    <row r="567" spans="1:9" x14ac:dyDescent="0.2">
      <c r="A567" t="s">
        <v>18</v>
      </c>
      <c r="B567" t="s">
        <v>10</v>
      </c>
      <c r="C567" s="3">
        <v>43326</v>
      </c>
      <c r="D567" s="3">
        <v>43326</v>
      </c>
      <c r="E567" s="3">
        <v>43356</v>
      </c>
      <c r="F567" s="3"/>
      <c r="G567">
        <v>6116</v>
      </c>
      <c r="H567">
        <v>7094.56</v>
      </c>
      <c r="I567" t="s">
        <v>11</v>
      </c>
    </row>
    <row r="568" spans="1:9" x14ac:dyDescent="0.2">
      <c r="A568" t="s">
        <v>18</v>
      </c>
      <c r="B568" t="s">
        <v>10</v>
      </c>
      <c r="C568" s="3">
        <v>43326</v>
      </c>
      <c r="D568" s="3">
        <v>43326</v>
      </c>
      <c r="E568" s="3">
        <v>43356</v>
      </c>
      <c r="F568" s="3"/>
      <c r="G568">
        <v>15840</v>
      </c>
      <c r="H568">
        <v>18374.400000000001</v>
      </c>
      <c r="I568" t="s">
        <v>11</v>
      </c>
    </row>
    <row r="569" spans="1:9" x14ac:dyDescent="0.2">
      <c r="A569" t="s">
        <v>22</v>
      </c>
      <c r="B569" t="s">
        <v>10</v>
      </c>
      <c r="C569" s="3">
        <v>43326</v>
      </c>
      <c r="D569" s="3">
        <v>43326</v>
      </c>
      <c r="E569" s="3">
        <v>43356</v>
      </c>
      <c r="F569" s="3"/>
      <c r="G569">
        <v>3550</v>
      </c>
      <c r="H569">
        <v>4118</v>
      </c>
      <c r="I569" t="s">
        <v>11</v>
      </c>
    </row>
    <row r="570" spans="1:9" x14ac:dyDescent="0.2">
      <c r="A570" t="s">
        <v>22</v>
      </c>
      <c r="B570" t="s">
        <v>10</v>
      </c>
      <c r="C570" s="3">
        <v>43326</v>
      </c>
      <c r="D570" s="3">
        <v>43326</v>
      </c>
      <c r="E570" s="3">
        <v>43356</v>
      </c>
      <c r="F570" s="3"/>
      <c r="G570">
        <v>116547</v>
      </c>
      <c r="H570">
        <v>135194</v>
      </c>
      <c r="I570" t="s">
        <v>11</v>
      </c>
    </row>
    <row r="571" spans="1:9" x14ac:dyDescent="0.2">
      <c r="A571" t="s">
        <v>41</v>
      </c>
      <c r="B571" t="s">
        <v>10</v>
      </c>
      <c r="C571" s="3">
        <v>43326</v>
      </c>
      <c r="D571" s="3">
        <v>43326</v>
      </c>
      <c r="E571" s="3">
        <v>43334</v>
      </c>
      <c r="F571" s="3"/>
      <c r="G571">
        <v>6924.72</v>
      </c>
      <c r="H571">
        <v>8032.68</v>
      </c>
      <c r="I571" t="s">
        <v>11</v>
      </c>
    </row>
    <row r="572" spans="1:9" x14ac:dyDescent="0.2">
      <c r="A572" t="s">
        <v>22</v>
      </c>
      <c r="B572" t="s">
        <v>10</v>
      </c>
      <c r="C572" s="3">
        <v>43321</v>
      </c>
      <c r="D572" s="3">
        <v>43321</v>
      </c>
      <c r="E572" s="3">
        <v>43351</v>
      </c>
      <c r="F572" s="3"/>
      <c r="G572">
        <v>341140</v>
      </c>
      <c r="H572">
        <v>395723</v>
      </c>
      <c r="I572" t="s">
        <v>11</v>
      </c>
    </row>
    <row r="573" spans="1:9" x14ac:dyDescent="0.2">
      <c r="A573" t="s">
        <v>21</v>
      </c>
      <c r="B573" t="s">
        <v>10</v>
      </c>
      <c r="C573" s="3">
        <v>43321</v>
      </c>
      <c r="D573" s="3">
        <v>43321</v>
      </c>
      <c r="E573" s="3">
        <v>43328</v>
      </c>
      <c r="F573" s="3"/>
      <c r="G573">
        <v>2392</v>
      </c>
      <c r="H573">
        <v>2774.72</v>
      </c>
      <c r="I573" t="s">
        <v>11</v>
      </c>
    </row>
    <row r="574" spans="1:9" x14ac:dyDescent="0.2">
      <c r="A574" t="s">
        <v>22</v>
      </c>
      <c r="B574" t="s">
        <v>10</v>
      </c>
      <c r="C574" s="3">
        <v>43321</v>
      </c>
      <c r="D574" s="3">
        <v>43321</v>
      </c>
      <c r="E574" s="3">
        <v>43351</v>
      </c>
      <c r="F574" s="3"/>
      <c r="G574">
        <v>10390</v>
      </c>
      <c r="H574">
        <v>12052.4</v>
      </c>
      <c r="I574" t="s">
        <v>11</v>
      </c>
    </row>
    <row r="575" spans="1:9" x14ac:dyDescent="0.2">
      <c r="A575" t="s">
        <v>41</v>
      </c>
      <c r="B575" t="s">
        <v>10</v>
      </c>
      <c r="C575" s="3">
        <v>43321</v>
      </c>
      <c r="D575" s="3">
        <v>43321</v>
      </c>
      <c r="E575" s="3">
        <v>43329</v>
      </c>
      <c r="F575" s="3"/>
      <c r="G575">
        <v>5418.38</v>
      </c>
      <c r="H575">
        <v>6285.32</v>
      </c>
      <c r="I575" t="s">
        <v>11</v>
      </c>
    </row>
    <row r="576" spans="1:9" x14ac:dyDescent="0.2">
      <c r="A576" t="s">
        <v>25</v>
      </c>
      <c r="B576" t="s">
        <v>10</v>
      </c>
      <c r="C576" s="3">
        <v>43321</v>
      </c>
      <c r="D576" s="3">
        <v>43321</v>
      </c>
      <c r="E576" s="3">
        <v>43351</v>
      </c>
      <c r="F576" s="3"/>
      <c r="G576">
        <v>11850</v>
      </c>
      <c r="H576">
        <v>13746</v>
      </c>
      <c r="I576" t="s">
        <v>11</v>
      </c>
    </row>
    <row r="577" spans="1:9" x14ac:dyDescent="0.2">
      <c r="A577" t="s">
        <v>18</v>
      </c>
      <c r="B577" t="s">
        <v>10</v>
      </c>
      <c r="C577" s="3">
        <v>43321</v>
      </c>
      <c r="D577" s="3">
        <v>43321</v>
      </c>
      <c r="E577" s="3">
        <v>43351</v>
      </c>
      <c r="F577" s="3"/>
      <c r="G577">
        <v>29480</v>
      </c>
      <c r="H577">
        <v>34196.800000000003</v>
      </c>
      <c r="I577" t="s">
        <v>11</v>
      </c>
    </row>
    <row r="578" spans="1:9" x14ac:dyDescent="0.2">
      <c r="A578" t="s">
        <v>21</v>
      </c>
      <c r="B578" t="s">
        <v>10</v>
      </c>
      <c r="C578" s="3">
        <v>43319</v>
      </c>
      <c r="D578" s="3">
        <v>43319</v>
      </c>
      <c r="E578" s="3">
        <v>43326</v>
      </c>
      <c r="F578" s="3"/>
      <c r="G578">
        <v>12814</v>
      </c>
      <c r="H578">
        <v>14864.2</v>
      </c>
      <c r="I578" t="s">
        <v>11</v>
      </c>
    </row>
    <row r="579" spans="1:9" x14ac:dyDescent="0.2">
      <c r="A579" t="s">
        <v>41</v>
      </c>
      <c r="B579" t="s">
        <v>10</v>
      </c>
      <c r="C579" s="3">
        <v>43315</v>
      </c>
      <c r="D579" s="3">
        <v>43315</v>
      </c>
      <c r="E579" s="3">
        <v>43323</v>
      </c>
      <c r="F579" s="3"/>
      <c r="G579">
        <v>7944.9</v>
      </c>
      <c r="H579">
        <v>9216.08</v>
      </c>
      <c r="I579" t="s">
        <v>11</v>
      </c>
    </row>
    <row r="580" spans="1:9" x14ac:dyDescent="0.2">
      <c r="A580" t="s">
        <v>41</v>
      </c>
      <c r="B580" t="s">
        <v>10</v>
      </c>
      <c r="C580" s="3">
        <v>43314</v>
      </c>
      <c r="D580" s="3">
        <v>43314</v>
      </c>
      <c r="E580" s="3">
        <v>43322</v>
      </c>
      <c r="F580" s="3"/>
      <c r="G580">
        <v>22147.200000000001</v>
      </c>
      <c r="H580">
        <v>25690.799999999999</v>
      </c>
      <c r="I580" t="s">
        <v>11</v>
      </c>
    </row>
    <row r="581" spans="1:9" x14ac:dyDescent="0.2">
      <c r="A581" t="s">
        <v>12</v>
      </c>
      <c r="B581" t="s">
        <v>10</v>
      </c>
      <c r="C581" s="3">
        <v>43312</v>
      </c>
      <c r="D581" s="3">
        <v>43312</v>
      </c>
      <c r="E581" s="3">
        <v>43342</v>
      </c>
      <c r="F581" s="3"/>
      <c r="G581">
        <v>100466</v>
      </c>
      <c r="H581">
        <v>100466</v>
      </c>
      <c r="I581" t="s">
        <v>11</v>
      </c>
    </row>
    <row r="582" spans="1:9" x14ac:dyDescent="0.2">
      <c r="A582" t="s">
        <v>21</v>
      </c>
      <c r="B582" t="s">
        <v>10</v>
      </c>
      <c r="C582" s="3">
        <v>43312</v>
      </c>
      <c r="D582" s="3">
        <v>43312</v>
      </c>
      <c r="E582" s="3">
        <v>43319</v>
      </c>
      <c r="F582" s="3"/>
      <c r="G582">
        <v>13104</v>
      </c>
      <c r="H582">
        <v>15200.6</v>
      </c>
      <c r="I582" t="s">
        <v>11</v>
      </c>
    </row>
    <row r="583" spans="1:9" x14ac:dyDescent="0.2">
      <c r="A583" t="s">
        <v>19</v>
      </c>
      <c r="B583" t="s">
        <v>10</v>
      </c>
      <c r="C583" s="3">
        <v>43312</v>
      </c>
      <c r="D583" s="3">
        <v>43312</v>
      </c>
      <c r="E583" s="3">
        <v>43327</v>
      </c>
      <c r="F583" s="3"/>
      <c r="G583">
        <v>16736</v>
      </c>
      <c r="H583">
        <v>19413.7</v>
      </c>
      <c r="I583" t="s">
        <v>11</v>
      </c>
    </row>
    <row r="584" spans="1:9" x14ac:dyDescent="0.2">
      <c r="A584" t="s">
        <v>41</v>
      </c>
      <c r="B584" t="s">
        <v>10</v>
      </c>
      <c r="C584" s="3">
        <v>43311</v>
      </c>
      <c r="D584" s="3">
        <v>43311</v>
      </c>
      <c r="E584" s="3">
        <v>43319</v>
      </c>
      <c r="F584" s="3"/>
      <c r="G584">
        <v>4012.98</v>
      </c>
      <c r="H584">
        <v>4655.0600000000004</v>
      </c>
      <c r="I584" t="s">
        <v>11</v>
      </c>
    </row>
    <row r="585" spans="1:9" x14ac:dyDescent="0.2">
      <c r="A585" t="s">
        <v>41</v>
      </c>
      <c r="B585" t="s">
        <v>10</v>
      </c>
      <c r="C585" s="3">
        <v>43311</v>
      </c>
      <c r="D585" s="3">
        <v>43311</v>
      </c>
      <c r="E585" s="3">
        <v>43319</v>
      </c>
      <c r="F585" s="3"/>
      <c r="G585">
        <v>3351.6</v>
      </c>
      <c r="H585">
        <v>3887.86</v>
      </c>
      <c r="I585" t="s">
        <v>11</v>
      </c>
    </row>
    <row r="586" spans="1:9" x14ac:dyDescent="0.2">
      <c r="A586" t="s">
        <v>41</v>
      </c>
      <c r="B586" t="s">
        <v>10</v>
      </c>
      <c r="C586" s="3">
        <v>43308</v>
      </c>
      <c r="D586" s="3">
        <v>43308</v>
      </c>
      <c r="E586" s="3">
        <v>43316</v>
      </c>
      <c r="F586" s="3"/>
      <c r="G586">
        <v>8550.11</v>
      </c>
      <c r="H586">
        <v>9918.1299999999992</v>
      </c>
      <c r="I586" t="s">
        <v>11</v>
      </c>
    </row>
    <row r="587" spans="1:9" x14ac:dyDescent="0.2">
      <c r="A587" t="s">
        <v>46</v>
      </c>
      <c r="B587" t="s">
        <v>10</v>
      </c>
      <c r="C587" s="3">
        <v>43308</v>
      </c>
      <c r="D587" s="3">
        <v>43308</v>
      </c>
      <c r="E587" s="3">
        <v>43315</v>
      </c>
      <c r="F587" s="3"/>
      <c r="G587">
        <v>1126.2</v>
      </c>
      <c r="H587">
        <v>1306.3900000000001</v>
      </c>
      <c r="I587" t="s">
        <v>11</v>
      </c>
    </row>
    <row r="588" spans="1:9" x14ac:dyDescent="0.2">
      <c r="A588" t="s">
        <v>21</v>
      </c>
      <c r="B588" t="s">
        <v>10</v>
      </c>
      <c r="C588" s="3">
        <v>43307</v>
      </c>
      <c r="D588" s="3">
        <v>43307</v>
      </c>
      <c r="E588" s="3">
        <v>43314</v>
      </c>
      <c r="F588" s="3"/>
      <c r="G588">
        <v>14846</v>
      </c>
      <c r="H588">
        <v>17221.3</v>
      </c>
      <c r="I588" t="s">
        <v>11</v>
      </c>
    </row>
    <row r="589" spans="1:9" x14ac:dyDescent="0.2">
      <c r="A589" t="s">
        <v>19</v>
      </c>
      <c r="B589" t="s">
        <v>10</v>
      </c>
      <c r="C589" s="3">
        <v>43307</v>
      </c>
      <c r="D589" s="3">
        <v>43307</v>
      </c>
      <c r="E589" s="3">
        <v>43322</v>
      </c>
      <c r="F589" s="3"/>
      <c r="G589">
        <v>14740</v>
      </c>
      <c r="H589">
        <v>17098.400000000001</v>
      </c>
      <c r="I589" t="s">
        <v>11</v>
      </c>
    </row>
    <row r="590" spans="1:9" x14ac:dyDescent="0.2">
      <c r="A590" t="s">
        <v>41</v>
      </c>
      <c r="B590" t="s">
        <v>10</v>
      </c>
      <c r="C590" s="3">
        <v>43307</v>
      </c>
      <c r="D590" s="3">
        <v>43307</v>
      </c>
      <c r="E590" s="3">
        <v>43315</v>
      </c>
      <c r="F590" s="3"/>
      <c r="G590">
        <v>5768.1</v>
      </c>
      <c r="H590">
        <v>6691</v>
      </c>
      <c r="I590" t="s">
        <v>11</v>
      </c>
    </row>
    <row r="591" spans="1:9" x14ac:dyDescent="0.2">
      <c r="A591" t="s">
        <v>41</v>
      </c>
      <c r="B591" t="s">
        <v>10</v>
      </c>
      <c r="C591" s="3">
        <v>43307</v>
      </c>
      <c r="D591" s="3">
        <v>43307</v>
      </c>
      <c r="E591" s="3">
        <v>43315</v>
      </c>
      <c r="F591" s="3"/>
      <c r="G591">
        <v>5768.1</v>
      </c>
      <c r="H591">
        <v>6691</v>
      </c>
      <c r="I591" t="s">
        <v>11</v>
      </c>
    </row>
    <row r="592" spans="1:9" x14ac:dyDescent="0.2">
      <c r="A592" t="s">
        <v>19</v>
      </c>
      <c r="B592" t="s">
        <v>10</v>
      </c>
      <c r="C592" s="3">
        <v>43307</v>
      </c>
      <c r="D592" s="3">
        <v>43307</v>
      </c>
      <c r="E592" s="3">
        <v>43322</v>
      </c>
      <c r="F592" s="3"/>
      <c r="G592">
        <v>29480</v>
      </c>
      <c r="H592">
        <v>34196.800000000003</v>
      </c>
      <c r="I592" t="s">
        <v>11</v>
      </c>
    </row>
    <row r="593" spans="1:9" x14ac:dyDescent="0.2">
      <c r="A593" t="s">
        <v>18</v>
      </c>
      <c r="B593" t="s">
        <v>10</v>
      </c>
      <c r="C593" s="3">
        <v>43307</v>
      </c>
      <c r="D593" s="3">
        <v>43307</v>
      </c>
      <c r="E593" s="3">
        <v>43337</v>
      </c>
      <c r="F593" s="3"/>
      <c r="G593">
        <v>18348</v>
      </c>
      <c r="H593">
        <v>21283.599999999999</v>
      </c>
      <c r="I593" t="s">
        <v>11</v>
      </c>
    </row>
    <row r="594" spans="1:9" x14ac:dyDescent="0.2">
      <c r="A594" t="s">
        <v>41</v>
      </c>
      <c r="B594" t="s">
        <v>10</v>
      </c>
      <c r="C594" s="3">
        <v>43307</v>
      </c>
      <c r="D594" s="3">
        <v>43307</v>
      </c>
      <c r="E594" s="3">
        <v>43315</v>
      </c>
      <c r="F594" s="3"/>
      <c r="G594">
        <v>6786</v>
      </c>
      <c r="H594">
        <v>7871.76</v>
      </c>
      <c r="I594" t="s">
        <v>11</v>
      </c>
    </row>
    <row r="595" spans="1:9" x14ac:dyDescent="0.2">
      <c r="A595" t="s">
        <v>19</v>
      </c>
      <c r="B595" t="s">
        <v>10</v>
      </c>
      <c r="C595" s="3">
        <v>43306</v>
      </c>
      <c r="D595" s="3">
        <v>43306</v>
      </c>
      <c r="E595" s="3">
        <v>43321</v>
      </c>
      <c r="F595" s="3"/>
      <c r="G595">
        <v>25000</v>
      </c>
      <c r="H595">
        <v>29000</v>
      </c>
      <c r="I595" t="s">
        <v>11</v>
      </c>
    </row>
    <row r="596" spans="1:9" x14ac:dyDescent="0.2">
      <c r="A596" t="s">
        <v>19</v>
      </c>
      <c r="B596" t="s">
        <v>10</v>
      </c>
      <c r="C596" s="3">
        <v>43306</v>
      </c>
      <c r="D596" s="3">
        <v>43306</v>
      </c>
      <c r="E596" s="3">
        <v>43321</v>
      </c>
      <c r="F596" s="3"/>
      <c r="G596">
        <v>26000</v>
      </c>
      <c r="H596">
        <v>30160</v>
      </c>
      <c r="I596" t="s">
        <v>11</v>
      </c>
    </row>
    <row r="597" spans="1:9" x14ac:dyDescent="0.2">
      <c r="A597" t="s">
        <v>21</v>
      </c>
      <c r="B597" t="s">
        <v>10</v>
      </c>
      <c r="C597" s="3">
        <v>43306</v>
      </c>
      <c r="D597" s="3">
        <v>43306</v>
      </c>
      <c r="E597" s="3">
        <v>43313</v>
      </c>
      <c r="F597" s="3"/>
      <c r="G597">
        <v>14682</v>
      </c>
      <c r="H597">
        <v>17031.099999999999</v>
      </c>
      <c r="I597" t="s">
        <v>11</v>
      </c>
    </row>
    <row r="598" spans="1:9" x14ac:dyDescent="0.2">
      <c r="A598" t="s">
        <v>21</v>
      </c>
      <c r="B598" t="s">
        <v>10</v>
      </c>
      <c r="C598" s="3">
        <v>43306</v>
      </c>
      <c r="D598" s="3">
        <v>43306</v>
      </c>
      <c r="E598" s="3">
        <v>43313</v>
      </c>
      <c r="F598" s="3"/>
      <c r="G598">
        <v>14682</v>
      </c>
      <c r="H598">
        <v>17031.099999999999</v>
      </c>
      <c r="I598" t="s">
        <v>11</v>
      </c>
    </row>
    <row r="599" spans="1:9" x14ac:dyDescent="0.2">
      <c r="A599" t="s">
        <v>25</v>
      </c>
      <c r="B599" t="s">
        <v>10</v>
      </c>
      <c r="C599" s="3">
        <v>43306</v>
      </c>
      <c r="D599" s="3">
        <v>43306</v>
      </c>
      <c r="E599" s="3">
        <v>43336</v>
      </c>
      <c r="F599" s="3"/>
      <c r="G599">
        <v>6680</v>
      </c>
      <c r="H599">
        <v>7748.8</v>
      </c>
      <c r="I599" t="s">
        <v>11</v>
      </c>
    </row>
    <row r="600" spans="1:9" x14ac:dyDescent="0.2">
      <c r="A600" t="s">
        <v>36</v>
      </c>
      <c r="B600" t="s">
        <v>10</v>
      </c>
      <c r="C600" s="3">
        <v>43304</v>
      </c>
      <c r="D600" s="3">
        <v>43304</v>
      </c>
      <c r="E600" s="3">
        <v>43319</v>
      </c>
      <c r="F600" s="3"/>
      <c r="G600">
        <v>3168</v>
      </c>
      <c r="H600">
        <v>3674.88</v>
      </c>
      <c r="I600" t="s">
        <v>11</v>
      </c>
    </row>
    <row r="601" spans="1:9" x14ac:dyDescent="0.2">
      <c r="A601" t="s">
        <v>41</v>
      </c>
      <c r="B601" t="s">
        <v>10</v>
      </c>
      <c r="C601" s="3">
        <v>43301</v>
      </c>
      <c r="D601" s="3">
        <v>43301</v>
      </c>
      <c r="E601" s="3">
        <v>43309</v>
      </c>
      <c r="F601" s="3"/>
      <c r="G601">
        <v>8509.5</v>
      </c>
      <c r="H601">
        <v>9871.02</v>
      </c>
      <c r="I601" t="s">
        <v>11</v>
      </c>
    </row>
    <row r="602" spans="1:9" x14ac:dyDescent="0.2">
      <c r="A602" t="s">
        <v>41</v>
      </c>
      <c r="B602" t="s">
        <v>10</v>
      </c>
      <c r="C602" s="3">
        <v>43301</v>
      </c>
      <c r="D602" s="3">
        <v>43301</v>
      </c>
      <c r="E602" s="3">
        <v>43309</v>
      </c>
      <c r="F602" s="3"/>
      <c r="G602">
        <v>10438.299999999999</v>
      </c>
      <c r="H602">
        <v>12108.4</v>
      </c>
      <c r="I602" t="s">
        <v>11</v>
      </c>
    </row>
    <row r="603" spans="1:9" x14ac:dyDescent="0.2">
      <c r="A603" t="s">
        <v>19</v>
      </c>
      <c r="B603" t="s">
        <v>10</v>
      </c>
      <c r="C603" s="3">
        <v>43300</v>
      </c>
      <c r="D603" s="3">
        <v>43300</v>
      </c>
      <c r="E603" s="3">
        <v>43315</v>
      </c>
      <c r="F603" s="3"/>
      <c r="G603">
        <v>350</v>
      </c>
      <c r="H603">
        <v>406</v>
      </c>
      <c r="I603" t="s">
        <v>11</v>
      </c>
    </row>
    <row r="604" spans="1:9" x14ac:dyDescent="0.2">
      <c r="A604" t="s">
        <v>18</v>
      </c>
      <c r="B604" t="s">
        <v>10</v>
      </c>
      <c r="C604" s="3">
        <v>43298</v>
      </c>
      <c r="D604" s="3">
        <v>43298</v>
      </c>
      <c r="E604" s="3">
        <v>43328</v>
      </c>
      <c r="F604" s="3"/>
      <c r="G604">
        <v>6351</v>
      </c>
      <c r="H604">
        <v>7367.16</v>
      </c>
      <c r="I604" t="s">
        <v>11</v>
      </c>
    </row>
    <row r="605" spans="1:9" x14ac:dyDescent="0.2">
      <c r="A605" t="s">
        <v>41</v>
      </c>
      <c r="B605" t="s">
        <v>10</v>
      </c>
      <c r="C605" s="3">
        <v>43297</v>
      </c>
      <c r="D605" s="3">
        <v>43297</v>
      </c>
      <c r="E605" s="3">
        <v>43305</v>
      </c>
      <c r="F605" s="3"/>
      <c r="G605">
        <v>24466</v>
      </c>
      <c r="H605">
        <v>28380.5</v>
      </c>
      <c r="I605" t="s">
        <v>11</v>
      </c>
    </row>
    <row r="606" spans="1:9" x14ac:dyDescent="0.2">
      <c r="A606" t="s">
        <v>41</v>
      </c>
      <c r="B606" t="s">
        <v>10</v>
      </c>
      <c r="C606" s="3">
        <v>43297</v>
      </c>
      <c r="D606" s="3">
        <v>43297</v>
      </c>
      <c r="E606" s="3">
        <v>43305</v>
      </c>
      <c r="F606" s="3"/>
      <c r="G606">
        <v>7122.43</v>
      </c>
      <c r="H606">
        <v>8262.02</v>
      </c>
      <c r="I606" t="s">
        <v>11</v>
      </c>
    </row>
    <row r="607" spans="1:9" x14ac:dyDescent="0.2">
      <c r="A607" t="s">
        <v>41</v>
      </c>
      <c r="B607" t="s">
        <v>10</v>
      </c>
      <c r="C607" s="3">
        <v>43297</v>
      </c>
      <c r="D607" s="3">
        <v>43297</v>
      </c>
      <c r="E607" s="3">
        <v>43305</v>
      </c>
      <c r="F607" s="3"/>
      <c r="G607">
        <v>9801.4599999999991</v>
      </c>
      <c r="H607">
        <v>11369.6</v>
      </c>
      <c r="I607" t="s">
        <v>11</v>
      </c>
    </row>
    <row r="608" spans="1:9" x14ac:dyDescent="0.2">
      <c r="A608" t="s">
        <v>41</v>
      </c>
      <c r="B608" t="s">
        <v>10</v>
      </c>
      <c r="C608" s="3">
        <v>43292</v>
      </c>
      <c r="D608" s="3">
        <v>43292</v>
      </c>
      <c r="E608" s="3">
        <v>43300</v>
      </c>
      <c r="F608" s="3"/>
      <c r="G608">
        <v>31859.4</v>
      </c>
      <c r="H608">
        <v>36956.9</v>
      </c>
      <c r="I608" t="s">
        <v>11</v>
      </c>
    </row>
    <row r="609" spans="1:9" x14ac:dyDescent="0.2">
      <c r="A609" t="s">
        <v>41</v>
      </c>
      <c r="B609" t="s">
        <v>10</v>
      </c>
      <c r="C609" s="3">
        <v>43292</v>
      </c>
      <c r="D609" s="3">
        <v>43292</v>
      </c>
      <c r="E609" s="3">
        <v>43300</v>
      </c>
      <c r="F609" s="3"/>
      <c r="G609">
        <v>11529.3</v>
      </c>
      <c r="H609">
        <v>13374</v>
      </c>
      <c r="I609" t="s">
        <v>11</v>
      </c>
    </row>
    <row r="610" spans="1:9" x14ac:dyDescent="0.2">
      <c r="A610" t="s">
        <v>20</v>
      </c>
      <c r="B610" t="s">
        <v>10</v>
      </c>
      <c r="C610" s="3">
        <v>43291</v>
      </c>
      <c r="D610" s="3">
        <v>43291</v>
      </c>
      <c r="E610" s="3">
        <v>43336</v>
      </c>
      <c r="F610" s="3"/>
      <c r="G610">
        <v>38904.300000000003</v>
      </c>
      <c r="H610">
        <v>45129</v>
      </c>
      <c r="I610" t="s">
        <v>11</v>
      </c>
    </row>
    <row r="611" spans="1:9" x14ac:dyDescent="0.2">
      <c r="A611" t="s">
        <v>13</v>
      </c>
      <c r="B611" t="s">
        <v>10</v>
      </c>
      <c r="C611" s="3">
        <v>43287</v>
      </c>
      <c r="D611" s="3">
        <v>43287</v>
      </c>
      <c r="E611" s="3">
        <v>43317</v>
      </c>
      <c r="F611" s="3"/>
      <c r="G611">
        <v>44154</v>
      </c>
      <c r="H611">
        <v>51218.6</v>
      </c>
      <c r="I611" t="s">
        <v>11</v>
      </c>
    </row>
    <row r="612" spans="1:9" x14ac:dyDescent="0.2">
      <c r="A612" t="s">
        <v>13</v>
      </c>
      <c r="B612" t="s">
        <v>10</v>
      </c>
      <c r="C612" s="3">
        <v>43287</v>
      </c>
      <c r="D612" s="3">
        <v>43287</v>
      </c>
      <c r="E612" s="3">
        <v>43317</v>
      </c>
      <c r="F612" s="3"/>
      <c r="G612">
        <v>210121</v>
      </c>
      <c r="H612">
        <v>243740</v>
      </c>
      <c r="I612" t="s">
        <v>11</v>
      </c>
    </row>
    <row r="613" spans="1:9" x14ac:dyDescent="0.2">
      <c r="A613" t="s">
        <v>41</v>
      </c>
      <c r="B613" t="s">
        <v>10</v>
      </c>
      <c r="C613" s="3">
        <v>43286</v>
      </c>
      <c r="D613" s="3">
        <v>43286</v>
      </c>
      <c r="E613" s="3">
        <v>43294</v>
      </c>
      <c r="F613" s="3"/>
      <c r="G613">
        <v>50921.2</v>
      </c>
      <c r="H613">
        <v>59068.6</v>
      </c>
      <c r="I613" t="s">
        <v>11</v>
      </c>
    </row>
    <row r="614" spans="1:9" x14ac:dyDescent="0.2">
      <c r="A614" t="s">
        <v>13</v>
      </c>
      <c r="B614" t="s">
        <v>10</v>
      </c>
      <c r="C614" s="3">
        <v>43286</v>
      </c>
      <c r="D614" s="3">
        <v>43286</v>
      </c>
      <c r="E614" s="3">
        <v>43316</v>
      </c>
      <c r="F614" s="3"/>
      <c r="G614">
        <v>800</v>
      </c>
      <c r="H614">
        <v>928</v>
      </c>
      <c r="I614" t="s">
        <v>11</v>
      </c>
    </row>
    <row r="615" spans="1:9" x14ac:dyDescent="0.2">
      <c r="A615" t="s">
        <v>27</v>
      </c>
      <c r="B615" t="s">
        <v>10</v>
      </c>
      <c r="C615" s="3">
        <v>43286</v>
      </c>
      <c r="D615" s="3">
        <v>43286</v>
      </c>
      <c r="E615" s="3">
        <v>43301</v>
      </c>
      <c r="F615" s="3"/>
      <c r="G615">
        <v>4153.08</v>
      </c>
      <c r="H615">
        <v>4817.57</v>
      </c>
      <c r="I615" t="s">
        <v>11</v>
      </c>
    </row>
    <row r="616" spans="1:9" x14ac:dyDescent="0.2">
      <c r="A616" t="s">
        <v>41</v>
      </c>
      <c r="B616" t="s">
        <v>10</v>
      </c>
      <c r="C616" s="3">
        <v>43286</v>
      </c>
      <c r="D616" s="3">
        <v>43286</v>
      </c>
      <c r="E616" s="3">
        <v>43294</v>
      </c>
      <c r="F616" s="3"/>
      <c r="G616">
        <v>17156.900000000001</v>
      </c>
      <c r="H616">
        <v>19902</v>
      </c>
      <c r="I616" t="s">
        <v>11</v>
      </c>
    </row>
    <row r="617" spans="1:9" x14ac:dyDescent="0.2">
      <c r="A617" t="s">
        <v>18</v>
      </c>
      <c r="B617" t="s">
        <v>10</v>
      </c>
      <c r="C617" s="3">
        <v>43285</v>
      </c>
      <c r="D617" s="3">
        <v>43285</v>
      </c>
      <c r="E617" s="3">
        <v>43315</v>
      </c>
      <c r="F617" s="3"/>
      <c r="G617">
        <v>8712</v>
      </c>
      <c r="H617">
        <v>10105.9</v>
      </c>
      <c r="I617" t="s">
        <v>11</v>
      </c>
    </row>
    <row r="618" spans="1:9" x14ac:dyDescent="0.2">
      <c r="A618" t="s">
        <v>13</v>
      </c>
      <c r="B618" t="s">
        <v>10</v>
      </c>
      <c r="C618" s="3">
        <v>43284</v>
      </c>
      <c r="D618" s="3">
        <v>43284</v>
      </c>
      <c r="E618" s="3">
        <v>43314</v>
      </c>
      <c r="F618" s="3"/>
      <c r="G618">
        <v>24484</v>
      </c>
      <c r="H618">
        <v>28401.4</v>
      </c>
      <c r="I618" t="s">
        <v>11</v>
      </c>
    </row>
    <row r="619" spans="1:9" x14ac:dyDescent="0.2">
      <c r="A619" t="s">
        <v>13</v>
      </c>
      <c r="B619" t="s">
        <v>10</v>
      </c>
      <c r="C619" s="3">
        <v>43284</v>
      </c>
      <c r="D619" s="3">
        <v>43284</v>
      </c>
      <c r="E619" s="3">
        <v>43314</v>
      </c>
      <c r="F619" s="3"/>
      <c r="G619">
        <v>11184</v>
      </c>
      <c r="H619">
        <v>12973.4</v>
      </c>
      <c r="I619" t="s">
        <v>11</v>
      </c>
    </row>
    <row r="620" spans="1:9" x14ac:dyDescent="0.2">
      <c r="A620" t="s">
        <v>36</v>
      </c>
      <c r="B620" t="s">
        <v>10</v>
      </c>
      <c r="C620" s="3">
        <v>43283</v>
      </c>
      <c r="D620" s="3">
        <v>43283</v>
      </c>
      <c r="E620" s="3">
        <v>43298</v>
      </c>
      <c r="F620" s="3"/>
      <c r="G620">
        <v>3168</v>
      </c>
      <c r="H620">
        <v>3674.88</v>
      </c>
      <c r="I620" t="s">
        <v>11</v>
      </c>
    </row>
    <row r="621" spans="1:9" x14ac:dyDescent="0.2">
      <c r="A621" t="s">
        <v>18</v>
      </c>
      <c r="B621" t="s">
        <v>10</v>
      </c>
      <c r="C621" s="3">
        <v>43283</v>
      </c>
      <c r="D621" s="3">
        <v>43283</v>
      </c>
      <c r="E621" s="3">
        <v>43313</v>
      </c>
      <c r="F621" s="3"/>
      <c r="G621">
        <v>810</v>
      </c>
      <c r="H621">
        <v>939.6</v>
      </c>
      <c r="I621" t="s">
        <v>11</v>
      </c>
    </row>
    <row r="622" spans="1:9" x14ac:dyDescent="0.2">
      <c r="A622" t="s">
        <v>41</v>
      </c>
      <c r="B622" t="s">
        <v>10</v>
      </c>
      <c r="C622" s="3">
        <v>43283</v>
      </c>
      <c r="D622" s="3">
        <v>43283</v>
      </c>
      <c r="E622" s="3">
        <v>43291</v>
      </c>
      <c r="F622" s="3"/>
      <c r="G622">
        <v>59213.3</v>
      </c>
      <c r="H622">
        <v>68687.5</v>
      </c>
      <c r="I622" t="s">
        <v>11</v>
      </c>
    </row>
    <row r="623" spans="1:9" x14ac:dyDescent="0.2">
      <c r="A623" t="s">
        <v>19</v>
      </c>
      <c r="B623" t="s">
        <v>10</v>
      </c>
      <c r="C623" s="3">
        <v>43280</v>
      </c>
      <c r="D623" s="3">
        <v>43280</v>
      </c>
      <c r="E623" s="3">
        <v>43295</v>
      </c>
      <c r="F623" s="3"/>
      <c r="G623">
        <v>2690</v>
      </c>
      <c r="H623">
        <v>3120.4</v>
      </c>
      <c r="I623" t="s">
        <v>11</v>
      </c>
    </row>
    <row r="624" spans="1:9" x14ac:dyDescent="0.2">
      <c r="A624" t="s">
        <v>25</v>
      </c>
      <c r="B624" t="s">
        <v>10</v>
      </c>
      <c r="C624" s="3">
        <v>43279</v>
      </c>
      <c r="D624" s="3">
        <v>43279</v>
      </c>
      <c r="E624" s="3">
        <v>43309</v>
      </c>
      <c r="F624" s="3"/>
      <c r="G624">
        <v>20552</v>
      </c>
      <c r="H624">
        <v>23840.3</v>
      </c>
      <c r="I624" t="s">
        <v>11</v>
      </c>
    </row>
    <row r="625" spans="1:9" x14ac:dyDescent="0.2">
      <c r="A625" t="s">
        <v>18</v>
      </c>
      <c r="B625" t="s">
        <v>10</v>
      </c>
      <c r="C625" s="3">
        <v>43279</v>
      </c>
      <c r="D625" s="3">
        <v>43279</v>
      </c>
      <c r="E625" s="3">
        <v>43309</v>
      </c>
      <c r="F625" s="3"/>
      <c r="G625">
        <v>29876</v>
      </c>
      <c r="H625">
        <v>34656.1</v>
      </c>
      <c r="I625" t="s">
        <v>11</v>
      </c>
    </row>
    <row r="626" spans="1:9" x14ac:dyDescent="0.2">
      <c r="A626" t="s">
        <v>50</v>
      </c>
      <c r="B626" t="s">
        <v>10</v>
      </c>
      <c r="C626" s="3">
        <v>43278</v>
      </c>
      <c r="D626" s="3">
        <v>43278</v>
      </c>
      <c r="E626" s="3">
        <v>43293</v>
      </c>
      <c r="F626" s="3"/>
      <c r="G626">
        <v>1746</v>
      </c>
      <c r="H626">
        <v>2025.36</v>
      </c>
      <c r="I626" t="s">
        <v>11</v>
      </c>
    </row>
    <row r="627" spans="1:9" x14ac:dyDescent="0.2">
      <c r="A627" t="s">
        <v>18</v>
      </c>
      <c r="B627" t="s">
        <v>10</v>
      </c>
      <c r="C627" s="3">
        <v>43278</v>
      </c>
      <c r="D627" s="3">
        <v>43278</v>
      </c>
      <c r="E627" s="3">
        <v>43308</v>
      </c>
      <c r="F627" s="3"/>
      <c r="G627">
        <v>90</v>
      </c>
      <c r="H627">
        <v>104.4</v>
      </c>
      <c r="I627" t="s">
        <v>11</v>
      </c>
    </row>
    <row r="628" spans="1:9" x14ac:dyDescent="0.2">
      <c r="A628" t="s">
        <v>41</v>
      </c>
      <c r="B628" t="s">
        <v>10</v>
      </c>
      <c r="C628" s="3">
        <v>43278</v>
      </c>
      <c r="D628" s="3">
        <v>43278</v>
      </c>
      <c r="E628" s="3">
        <v>43286</v>
      </c>
      <c r="F628" s="3"/>
      <c r="G628">
        <v>14234.5</v>
      </c>
      <c r="H628">
        <v>16512.099999999999</v>
      </c>
      <c r="I628" t="s">
        <v>11</v>
      </c>
    </row>
    <row r="629" spans="1:9" x14ac:dyDescent="0.2">
      <c r="A629" t="s">
        <v>41</v>
      </c>
      <c r="B629" t="s">
        <v>10</v>
      </c>
      <c r="C629" s="3">
        <v>43277</v>
      </c>
      <c r="D629" s="3">
        <v>43277</v>
      </c>
      <c r="E629" s="3">
        <v>43285</v>
      </c>
      <c r="F629" s="3"/>
      <c r="G629">
        <v>20067.599999999999</v>
      </c>
      <c r="H629">
        <v>23278.400000000001</v>
      </c>
      <c r="I629" t="s">
        <v>11</v>
      </c>
    </row>
    <row r="630" spans="1:9" x14ac:dyDescent="0.2">
      <c r="A630" t="s">
        <v>18</v>
      </c>
      <c r="B630" t="s">
        <v>10</v>
      </c>
      <c r="C630" s="3">
        <v>43277</v>
      </c>
      <c r="D630" s="3">
        <v>43277</v>
      </c>
      <c r="E630" s="3">
        <v>43307</v>
      </c>
      <c r="F630" s="3"/>
      <c r="G630">
        <v>34848</v>
      </c>
      <c r="H630">
        <v>40423.599999999999</v>
      </c>
      <c r="I630" t="s">
        <v>11</v>
      </c>
    </row>
    <row r="631" spans="1:9" x14ac:dyDescent="0.2">
      <c r="A631" t="s">
        <v>18</v>
      </c>
      <c r="B631" t="s">
        <v>10</v>
      </c>
      <c r="C631" s="3">
        <v>43277</v>
      </c>
      <c r="D631" s="3">
        <v>43277</v>
      </c>
      <c r="E631" s="3">
        <v>43307</v>
      </c>
      <c r="F631" s="3"/>
      <c r="G631">
        <v>17424</v>
      </c>
      <c r="H631">
        <v>20211.8</v>
      </c>
      <c r="I631" t="s">
        <v>11</v>
      </c>
    </row>
    <row r="632" spans="1:9" x14ac:dyDescent="0.2">
      <c r="A632" t="s">
        <v>41</v>
      </c>
      <c r="B632" t="s">
        <v>10</v>
      </c>
      <c r="C632" s="3">
        <v>43272</v>
      </c>
      <c r="D632" s="3">
        <v>43272</v>
      </c>
      <c r="E632" s="3">
        <v>43280</v>
      </c>
      <c r="F632" s="3"/>
      <c r="G632">
        <v>1033.46</v>
      </c>
      <c r="H632">
        <v>1198.81</v>
      </c>
      <c r="I632" t="s">
        <v>11</v>
      </c>
    </row>
    <row r="633" spans="1:9" x14ac:dyDescent="0.2">
      <c r="A633" t="s">
        <v>41</v>
      </c>
      <c r="B633" t="s">
        <v>10</v>
      </c>
      <c r="C633" s="3">
        <v>43272</v>
      </c>
      <c r="D633" s="3">
        <v>43272</v>
      </c>
      <c r="E633" s="3">
        <v>43280</v>
      </c>
      <c r="F633" s="3"/>
      <c r="G633">
        <v>3535.63</v>
      </c>
      <c r="H633">
        <v>4101.33</v>
      </c>
      <c r="I633" t="s">
        <v>11</v>
      </c>
    </row>
    <row r="634" spans="1:9" x14ac:dyDescent="0.2">
      <c r="A634" t="s">
        <v>41</v>
      </c>
      <c r="B634" t="s">
        <v>10</v>
      </c>
      <c r="C634" s="3">
        <v>43272</v>
      </c>
      <c r="D634" s="3">
        <v>43272</v>
      </c>
      <c r="E634" s="3">
        <v>43280</v>
      </c>
      <c r="F634" s="3"/>
      <c r="G634">
        <v>2140.69</v>
      </c>
      <c r="H634">
        <v>2483.1999999999998</v>
      </c>
      <c r="I634" t="s">
        <v>11</v>
      </c>
    </row>
    <row r="635" spans="1:9" x14ac:dyDescent="0.2">
      <c r="A635" t="s">
        <v>41</v>
      </c>
      <c r="B635" t="s">
        <v>10</v>
      </c>
      <c r="C635" s="3">
        <v>43272</v>
      </c>
      <c r="D635" s="3">
        <v>43272</v>
      </c>
      <c r="E635" s="3">
        <v>43280</v>
      </c>
      <c r="F635" s="3"/>
      <c r="G635">
        <v>2140.69</v>
      </c>
      <c r="H635">
        <v>2483.1999999999998</v>
      </c>
      <c r="I635" t="s">
        <v>11</v>
      </c>
    </row>
    <row r="636" spans="1:9" x14ac:dyDescent="0.2">
      <c r="A636" t="s">
        <v>18</v>
      </c>
      <c r="B636" t="s">
        <v>10</v>
      </c>
      <c r="C636" s="3">
        <v>43272</v>
      </c>
      <c r="D636" s="3">
        <v>43272</v>
      </c>
      <c r="E636" s="3">
        <v>43302</v>
      </c>
      <c r="F636" s="3"/>
      <c r="G636">
        <v>8266</v>
      </c>
      <c r="H636">
        <v>9588.56</v>
      </c>
      <c r="I636" t="s">
        <v>11</v>
      </c>
    </row>
    <row r="637" spans="1:9" x14ac:dyDescent="0.2">
      <c r="A637" t="s">
        <v>13</v>
      </c>
      <c r="B637" t="s">
        <v>10</v>
      </c>
      <c r="C637" s="3">
        <v>43271</v>
      </c>
      <c r="D637" s="3">
        <v>43271</v>
      </c>
      <c r="E637" s="3">
        <v>43301</v>
      </c>
      <c r="F637" s="3"/>
      <c r="G637">
        <v>240</v>
      </c>
      <c r="H637">
        <v>278.39999999999998</v>
      </c>
      <c r="I637" t="s">
        <v>11</v>
      </c>
    </row>
    <row r="638" spans="1:9" x14ac:dyDescent="0.2">
      <c r="A638" t="s">
        <v>22</v>
      </c>
      <c r="B638" t="s">
        <v>10</v>
      </c>
      <c r="C638" s="3">
        <v>43269</v>
      </c>
      <c r="D638" s="3">
        <v>43269</v>
      </c>
      <c r="E638" s="3">
        <v>43299</v>
      </c>
      <c r="F638" s="3"/>
      <c r="G638">
        <v>5899.5</v>
      </c>
      <c r="H638">
        <v>6843.42</v>
      </c>
      <c r="I638" t="s">
        <v>11</v>
      </c>
    </row>
    <row r="639" spans="1:9" x14ac:dyDescent="0.2">
      <c r="A639" t="s">
        <v>18</v>
      </c>
      <c r="B639" t="s">
        <v>10</v>
      </c>
      <c r="C639" s="3">
        <v>43269</v>
      </c>
      <c r="D639" s="3">
        <v>43269</v>
      </c>
      <c r="E639" s="3">
        <v>43299</v>
      </c>
      <c r="F639" s="3"/>
      <c r="G639">
        <v>6624</v>
      </c>
      <c r="H639">
        <v>7683.84</v>
      </c>
      <c r="I639" t="s">
        <v>11</v>
      </c>
    </row>
    <row r="640" spans="1:9" x14ac:dyDescent="0.2">
      <c r="A640" t="s">
        <v>18</v>
      </c>
      <c r="B640" t="s">
        <v>10</v>
      </c>
      <c r="C640" s="3">
        <v>43264</v>
      </c>
      <c r="D640" s="3">
        <v>43264</v>
      </c>
      <c r="E640" s="3">
        <v>43294</v>
      </c>
      <c r="F640" s="3"/>
      <c r="G640">
        <v>5000</v>
      </c>
      <c r="H640">
        <v>5800</v>
      </c>
      <c r="I640" t="s">
        <v>11</v>
      </c>
    </row>
    <row r="641" spans="1:9" x14ac:dyDescent="0.2">
      <c r="A641" t="s">
        <v>41</v>
      </c>
      <c r="B641" t="s">
        <v>10</v>
      </c>
      <c r="C641" s="3">
        <v>43264</v>
      </c>
      <c r="D641" s="3">
        <v>43264</v>
      </c>
      <c r="E641" s="3">
        <v>43272</v>
      </c>
      <c r="F641" s="3"/>
      <c r="G641">
        <v>42749.5</v>
      </c>
      <c r="H641">
        <v>49589.4</v>
      </c>
      <c r="I641" t="s">
        <v>11</v>
      </c>
    </row>
    <row r="642" spans="1:9" x14ac:dyDescent="0.2">
      <c r="A642" t="s">
        <v>51</v>
      </c>
      <c r="B642" t="s">
        <v>10</v>
      </c>
      <c r="C642" s="3">
        <v>43264</v>
      </c>
      <c r="D642" s="3">
        <v>43264</v>
      </c>
      <c r="E642" s="3">
        <v>43279</v>
      </c>
      <c r="F642" s="3"/>
      <c r="G642">
        <v>5250</v>
      </c>
      <c r="H642">
        <v>6090</v>
      </c>
      <c r="I642" t="s">
        <v>38</v>
      </c>
    </row>
    <row r="643" spans="1:9" x14ac:dyDescent="0.2">
      <c r="A643" t="s">
        <v>17</v>
      </c>
      <c r="B643" t="s">
        <v>10</v>
      </c>
      <c r="C643" s="3">
        <v>43264</v>
      </c>
      <c r="D643" s="3">
        <v>43264</v>
      </c>
      <c r="E643" s="3">
        <v>43309</v>
      </c>
      <c r="F643" s="3"/>
      <c r="G643">
        <v>25202</v>
      </c>
      <c r="H643">
        <v>29234.3</v>
      </c>
      <c r="I643" t="s">
        <v>11</v>
      </c>
    </row>
    <row r="644" spans="1:9" x14ac:dyDescent="0.2">
      <c r="A644" t="s">
        <v>41</v>
      </c>
      <c r="B644" t="s">
        <v>10</v>
      </c>
      <c r="C644" s="3">
        <v>43263</v>
      </c>
      <c r="D644" s="3">
        <v>43263</v>
      </c>
      <c r="E644" s="3">
        <v>43271</v>
      </c>
      <c r="F644" s="3"/>
      <c r="G644">
        <v>4852.0600000000004</v>
      </c>
      <c r="H644">
        <v>5628.39</v>
      </c>
      <c r="I644" t="s">
        <v>11</v>
      </c>
    </row>
    <row r="645" spans="1:9" x14ac:dyDescent="0.2">
      <c r="A645" t="s">
        <v>52</v>
      </c>
      <c r="B645" t="s">
        <v>10</v>
      </c>
      <c r="C645" s="3">
        <v>43258</v>
      </c>
      <c r="D645" s="3">
        <v>43258</v>
      </c>
      <c r="E645" s="3">
        <v>43265</v>
      </c>
      <c r="F645" s="3"/>
      <c r="G645">
        <v>2688</v>
      </c>
      <c r="H645">
        <v>3118.08</v>
      </c>
      <c r="I645" t="s">
        <v>38</v>
      </c>
    </row>
    <row r="646" spans="1:9" x14ac:dyDescent="0.2">
      <c r="A646" t="s">
        <v>41</v>
      </c>
      <c r="B646" t="s">
        <v>10</v>
      </c>
      <c r="C646" s="3">
        <v>43257</v>
      </c>
      <c r="D646" s="3">
        <v>43257</v>
      </c>
      <c r="E646" s="3">
        <v>43265</v>
      </c>
      <c r="F646" s="3"/>
      <c r="G646">
        <v>27973</v>
      </c>
      <c r="H646">
        <v>32448.6</v>
      </c>
      <c r="I646" t="s">
        <v>11</v>
      </c>
    </row>
    <row r="647" spans="1:9" x14ac:dyDescent="0.2">
      <c r="A647" t="s">
        <v>20</v>
      </c>
      <c r="B647" t="s">
        <v>10</v>
      </c>
      <c r="C647" s="3">
        <v>43257</v>
      </c>
      <c r="D647" s="3">
        <v>43257</v>
      </c>
      <c r="E647" s="3">
        <v>43302</v>
      </c>
      <c r="F647" s="3"/>
      <c r="G647">
        <v>32474.6</v>
      </c>
      <c r="H647">
        <v>37670.6</v>
      </c>
      <c r="I647" t="s">
        <v>11</v>
      </c>
    </row>
    <row r="648" spans="1:9" x14ac:dyDescent="0.2">
      <c r="A648" t="s">
        <v>41</v>
      </c>
      <c r="B648" t="s">
        <v>10</v>
      </c>
      <c r="C648" s="3">
        <v>43256</v>
      </c>
      <c r="D648" s="3">
        <v>43256</v>
      </c>
      <c r="E648" s="3">
        <v>43264</v>
      </c>
      <c r="F648" s="3"/>
      <c r="G648">
        <v>21327.599999999999</v>
      </c>
      <c r="H648">
        <v>24740</v>
      </c>
      <c r="I648" t="s">
        <v>11</v>
      </c>
    </row>
    <row r="649" spans="1:9" x14ac:dyDescent="0.2">
      <c r="A649" t="s">
        <v>18</v>
      </c>
      <c r="B649" t="s">
        <v>10</v>
      </c>
      <c r="C649" s="3">
        <v>43255</v>
      </c>
      <c r="D649" s="3">
        <v>43255</v>
      </c>
      <c r="E649" s="3">
        <v>43285</v>
      </c>
      <c r="F649" s="3"/>
      <c r="G649">
        <v>3418</v>
      </c>
      <c r="H649">
        <v>3964.88</v>
      </c>
      <c r="I649" t="s">
        <v>11</v>
      </c>
    </row>
    <row r="650" spans="1:9" x14ac:dyDescent="0.2">
      <c r="A650" t="s">
        <v>41</v>
      </c>
      <c r="B650" t="s">
        <v>10</v>
      </c>
      <c r="C650" s="3">
        <v>43255</v>
      </c>
      <c r="D650" s="3">
        <v>43255</v>
      </c>
      <c r="E650" s="3">
        <v>43263</v>
      </c>
      <c r="F650" s="3"/>
      <c r="G650">
        <v>3896.1</v>
      </c>
      <c r="H650">
        <v>4519.4799999999996</v>
      </c>
      <c r="I650" t="s">
        <v>11</v>
      </c>
    </row>
    <row r="651" spans="1:9" x14ac:dyDescent="0.2">
      <c r="A651" t="s">
        <v>41</v>
      </c>
      <c r="B651" t="s">
        <v>10</v>
      </c>
      <c r="C651" s="3">
        <v>43255</v>
      </c>
      <c r="D651" s="3">
        <v>43255</v>
      </c>
      <c r="E651" s="3">
        <v>43263</v>
      </c>
      <c r="F651" s="3"/>
      <c r="G651">
        <v>3014.38</v>
      </c>
      <c r="H651">
        <v>3496.68</v>
      </c>
      <c r="I651" t="s">
        <v>11</v>
      </c>
    </row>
    <row r="652" spans="1:9" x14ac:dyDescent="0.2">
      <c r="A652" t="s">
        <v>41</v>
      </c>
      <c r="B652" t="s">
        <v>10</v>
      </c>
      <c r="C652" s="3">
        <v>43251</v>
      </c>
      <c r="D652" s="3">
        <v>43251</v>
      </c>
      <c r="E652" s="3">
        <v>43259</v>
      </c>
      <c r="F652" s="3"/>
      <c r="G652">
        <v>23433.7</v>
      </c>
      <c r="H652">
        <v>27183.1</v>
      </c>
      <c r="I652" t="s">
        <v>11</v>
      </c>
    </row>
    <row r="653" spans="1:9" x14ac:dyDescent="0.2">
      <c r="A653" t="s">
        <v>18</v>
      </c>
      <c r="B653" t="s">
        <v>10</v>
      </c>
      <c r="C653" s="3">
        <v>43250</v>
      </c>
      <c r="D653" s="3">
        <v>43250</v>
      </c>
      <c r="E653" s="3">
        <v>43280</v>
      </c>
      <c r="F653" s="3"/>
      <c r="G653">
        <v>17424</v>
      </c>
      <c r="H653">
        <v>20211.8</v>
      </c>
      <c r="I653" t="s">
        <v>11</v>
      </c>
    </row>
    <row r="654" spans="1:9" x14ac:dyDescent="0.2">
      <c r="A654" t="s">
        <v>18</v>
      </c>
      <c r="B654" t="s">
        <v>10</v>
      </c>
      <c r="C654" s="3">
        <v>43248</v>
      </c>
      <c r="D654" s="3">
        <v>43248</v>
      </c>
      <c r="E654" s="3">
        <v>43278</v>
      </c>
      <c r="F654" s="3"/>
      <c r="G654">
        <v>2600</v>
      </c>
      <c r="H654">
        <v>3016</v>
      </c>
      <c r="I654" t="s">
        <v>11</v>
      </c>
    </row>
    <row r="655" spans="1:9" x14ac:dyDescent="0.2">
      <c r="A655" t="s">
        <v>27</v>
      </c>
      <c r="B655" t="s">
        <v>10</v>
      </c>
      <c r="C655" s="3">
        <v>43244</v>
      </c>
      <c r="D655" s="3">
        <v>43244</v>
      </c>
      <c r="E655" s="3">
        <v>43259</v>
      </c>
      <c r="F655" s="3"/>
      <c r="G655">
        <v>4187</v>
      </c>
      <c r="H655">
        <v>4856.92</v>
      </c>
      <c r="I655" t="s">
        <v>11</v>
      </c>
    </row>
    <row r="656" spans="1:9" x14ac:dyDescent="0.2">
      <c r="A656" t="s">
        <v>27</v>
      </c>
      <c r="B656" t="s">
        <v>10</v>
      </c>
      <c r="C656" s="3">
        <v>43244</v>
      </c>
      <c r="D656" s="3">
        <v>43244</v>
      </c>
      <c r="E656" s="3">
        <v>43259</v>
      </c>
      <c r="F656" s="3"/>
      <c r="G656">
        <v>4187</v>
      </c>
      <c r="H656">
        <v>4856.92</v>
      </c>
      <c r="I656" t="s">
        <v>11</v>
      </c>
    </row>
    <row r="657" spans="1:9" x14ac:dyDescent="0.2">
      <c r="A657" t="s">
        <v>27</v>
      </c>
      <c r="B657" t="s">
        <v>10</v>
      </c>
      <c r="C657" s="3">
        <v>43244</v>
      </c>
      <c r="D657" s="3">
        <v>43244</v>
      </c>
      <c r="E657" s="3">
        <v>43259</v>
      </c>
      <c r="F657" s="3"/>
      <c r="G657">
        <v>4187</v>
      </c>
      <c r="H657">
        <v>4856.92</v>
      </c>
      <c r="I657" t="s">
        <v>11</v>
      </c>
    </row>
    <row r="658" spans="1:9" x14ac:dyDescent="0.2">
      <c r="A658" t="s">
        <v>27</v>
      </c>
      <c r="B658" t="s">
        <v>10</v>
      </c>
      <c r="C658" s="3">
        <v>43244</v>
      </c>
      <c r="D658" s="3">
        <v>43244</v>
      </c>
      <c r="E658" s="3">
        <v>43259</v>
      </c>
      <c r="F658" s="3"/>
      <c r="G658">
        <v>4187</v>
      </c>
      <c r="H658">
        <v>4856.92</v>
      </c>
      <c r="I658" t="s">
        <v>11</v>
      </c>
    </row>
    <row r="659" spans="1:9" x14ac:dyDescent="0.2">
      <c r="A659" t="s">
        <v>27</v>
      </c>
      <c r="B659" t="s">
        <v>10</v>
      </c>
      <c r="C659" s="3">
        <v>43244</v>
      </c>
      <c r="D659" s="3">
        <v>43244</v>
      </c>
      <c r="E659" s="3">
        <v>43259</v>
      </c>
      <c r="F659" s="3"/>
      <c r="G659">
        <v>8374</v>
      </c>
      <c r="H659">
        <v>9713.84</v>
      </c>
      <c r="I659" t="s">
        <v>11</v>
      </c>
    </row>
    <row r="660" spans="1:9" x14ac:dyDescent="0.2">
      <c r="A660" t="s">
        <v>27</v>
      </c>
      <c r="B660" t="s">
        <v>10</v>
      </c>
      <c r="C660" s="3">
        <v>43244</v>
      </c>
      <c r="D660" s="3">
        <v>43244</v>
      </c>
      <c r="E660" s="3">
        <v>43259</v>
      </c>
      <c r="F660" s="3"/>
      <c r="G660">
        <v>8374</v>
      </c>
      <c r="H660">
        <v>9713.84</v>
      </c>
      <c r="I660" t="s">
        <v>11</v>
      </c>
    </row>
    <row r="661" spans="1:9" x14ac:dyDescent="0.2">
      <c r="A661" t="s">
        <v>27</v>
      </c>
      <c r="B661" t="s">
        <v>10</v>
      </c>
      <c r="C661" s="3">
        <v>43244</v>
      </c>
      <c r="D661" s="3">
        <v>43244</v>
      </c>
      <c r="E661" s="3">
        <v>43259</v>
      </c>
      <c r="F661" s="3"/>
      <c r="G661">
        <v>4187</v>
      </c>
      <c r="H661">
        <v>4856.92</v>
      </c>
      <c r="I661" t="s">
        <v>11</v>
      </c>
    </row>
    <row r="662" spans="1:9" x14ac:dyDescent="0.2">
      <c r="A662" t="s">
        <v>27</v>
      </c>
      <c r="B662" t="s">
        <v>10</v>
      </c>
      <c r="C662" s="3">
        <v>43244</v>
      </c>
      <c r="D662" s="3">
        <v>43244</v>
      </c>
      <c r="E662" s="3">
        <v>43259</v>
      </c>
      <c r="F662" s="3"/>
      <c r="G662">
        <v>4187</v>
      </c>
      <c r="H662">
        <v>4856.92</v>
      </c>
      <c r="I662" t="s">
        <v>11</v>
      </c>
    </row>
    <row r="663" spans="1:9" x14ac:dyDescent="0.2">
      <c r="A663" t="s">
        <v>27</v>
      </c>
      <c r="B663" t="s">
        <v>10</v>
      </c>
      <c r="C663" s="3">
        <v>43244</v>
      </c>
      <c r="D663" s="3">
        <v>43244</v>
      </c>
      <c r="E663" s="3">
        <v>43259</v>
      </c>
      <c r="F663" s="3"/>
      <c r="G663">
        <v>8374</v>
      </c>
      <c r="H663">
        <v>9713.84</v>
      </c>
      <c r="I663" t="s">
        <v>11</v>
      </c>
    </row>
    <row r="664" spans="1:9" x14ac:dyDescent="0.2">
      <c r="A664" t="s">
        <v>27</v>
      </c>
      <c r="B664" t="s">
        <v>10</v>
      </c>
      <c r="C664" s="3">
        <v>43244</v>
      </c>
      <c r="D664" s="3">
        <v>43244</v>
      </c>
      <c r="E664" s="3">
        <v>43259</v>
      </c>
      <c r="F664" s="3"/>
      <c r="G664">
        <v>4187</v>
      </c>
      <c r="H664">
        <v>4856.92</v>
      </c>
      <c r="I664" t="s">
        <v>11</v>
      </c>
    </row>
    <row r="665" spans="1:9" x14ac:dyDescent="0.2">
      <c r="A665" t="s">
        <v>27</v>
      </c>
      <c r="B665" t="s">
        <v>10</v>
      </c>
      <c r="C665" s="3">
        <v>43244</v>
      </c>
      <c r="D665" s="3">
        <v>43244</v>
      </c>
      <c r="E665" s="3">
        <v>43259</v>
      </c>
      <c r="F665" s="3"/>
      <c r="G665">
        <v>4187</v>
      </c>
      <c r="H665">
        <v>4856.92</v>
      </c>
      <c r="I665" t="s">
        <v>11</v>
      </c>
    </row>
    <row r="666" spans="1:9" x14ac:dyDescent="0.2">
      <c r="A666" t="s">
        <v>27</v>
      </c>
      <c r="B666" t="s">
        <v>10</v>
      </c>
      <c r="C666" s="3">
        <v>43244</v>
      </c>
      <c r="D666" s="3">
        <v>43244</v>
      </c>
      <c r="E666" s="3">
        <v>43259</v>
      </c>
      <c r="F666" s="3"/>
      <c r="G666">
        <v>4187</v>
      </c>
      <c r="H666">
        <v>4856.92</v>
      </c>
      <c r="I666" t="s">
        <v>11</v>
      </c>
    </row>
    <row r="667" spans="1:9" x14ac:dyDescent="0.2">
      <c r="A667" t="s">
        <v>41</v>
      </c>
      <c r="B667" t="s">
        <v>10</v>
      </c>
      <c r="C667" s="3">
        <v>43244</v>
      </c>
      <c r="D667" s="3">
        <v>43244</v>
      </c>
      <c r="E667" s="3">
        <v>43252</v>
      </c>
      <c r="F667" s="3"/>
      <c r="G667">
        <v>13956.9</v>
      </c>
      <c r="H667">
        <v>16190</v>
      </c>
      <c r="I667" t="s">
        <v>11</v>
      </c>
    </row>
    <row r="668" spans="1:9" x14ac:dyDescent="0.2">
      <c r="A668" t="s">
        <v>22</v>
      </c>
      <c r="B668" t="s">
        <v>10</v>
      </c>
      <c r="C668" s="3">
        <v>43243</v>
      </c>
      <c r="D668" s="3">
        <v>43243</v>
      </c>
      <c r="E668" s="3">
        <v>43273</v>
      </c>
      <c r="F668" s="3"/>
      <c r="G668">
        <v>24807.8</v>
      </c>
      <c r="H668">
        <v>28777.1</v>
      </c>
      <c r="I668" t="s">
        <v>11</v>
      </c>
    </row>
    <row r="669" spans="1:9" x14ac:dyDescent="0.2">
      <c r="A669" t="s">
        <v>22</v>
      </c>
      <c r="B669" t="s">
        <v>10</v>
      </c>
      <c r="C669" s="3">
        <v>43243</v>
      </c>
      <c r="D669" s="3">
        <v>43243</v>
      </c>
      <c r="E669" s="3">
        <v>43273</v>
      </c>
      <c r="F669" s="3"/>
      <c r="G669">
        <v>320</v>
      </c>
      <c r="H669">
        <v>371.2</v>
      </c>
      <c r="I669" t="s">
        <v>11</v>
      </c>
    </row>
    <row r="670" spans="1:9" x14ac:dyDescent="0.2">
      <c r="A670" t="s">
        <v>41</v>
      </c>
      <c r="B670" t="s">
        <v>10</v>
      </c>
      <c r="C670" s="3">
        <v>43243</v>
      </c>
      <c r="D670" s="3">
        <v>43243</v>
      </c>
      <c r="E670" s="3">
        <v>43251</v>
      </c>
      <c r="F670" s="3"/>
      <c r="G670">
        <v>4258.1499999999996</v>
      </c>
      <c r="H670">
        <v>4939.46</v>
      </c>
      <c r="I670" t="s">
        <v>11</v>
      </c>
    </row>
    <row r="671" spans="1:9" x14ac:dyDescent="0.2">
      <c r="A671" t="s">
        <v>41</v>
      </c>
      <c r="B671" t="s">
        <v>10</v>
      </c>
      <c r="C671" s="3">
        <v>43242</v>
      </c>
      <c r="D671" s="3">
        <v>43242</v>
      </c>
      <c r="E671" s="3">
        <v>43250</v>
      </c>
      <c r="F671" s="3"/>
      <c r="G671">
        <v>4295.3100000000004</v>
      </c>
      <c r="H671">
        <v>4982.5600000000004</v>
      </c>
      <c r="I671" t="s">
        <v>11</v>
      </c>
    </row>
    <row r="672" spans="1:9" x14ac:dyDescent="0.2">
      <c r="A672" t="s">
        <v>27</v>
      </c>
      <c r="B672" t="s">
        <v>10</v>
      </c>
      <c r="C672" s="3">
        <v>43242</v>
      </c>
      <c r="D672" s="3">
        <v>43242</v>
      </c>
      <c r="E672" s="3">
        <v>43257</v>
      </c>
      <c r="F672" s="3"/>
      <c r="G672">
        <v>4225.16</v>
      </c>
      <c r="H672">
        <v>4901.1899999999996</v>
      </c>
      <c r="I672" t="s">
        <v>11</v>
      </c>
    </row>
    <row r="673" spans="1:9" x14ac:dyDescent="0.2">
      <c r="A673" t="s">
        <v>18</v>
      </c>
      <c r="B673" t="s">
        <v>10</v>
      </c>
      <c r="C673" s="3">
        <v>43242</v>
      </c>
      <c r="D673" s="3">
        <v>43242</v>
      </c>
      <c r="E673" s="3">
        <v>43272</v>
      </c>
      <c r="F673" s="3"/>
      <c r="G673">
        <v>17424</v>
      </c>
      <c r="H673">
        <v>20211.8</v>
      </c>
      <c r="I673" t="s">
        <v>11</v>
      </c>
    </row>
    <row r="674" spans="1:9" x14ac:dyDescent="0.2">
      <c r="A674" t="s">
        <v>18</v>
      </c>
      <c r="B674" t="s">
        <v>10</v>
      </c>
      <c r="C674" s="3">
        <v>43242</v>
      </c>
      <c r="D674" s="3">
        <v>43242</v>
      </c>
      <c r="E674" s="3">
        <v>43272</v>
      </c>
      <c r="F674" s="3"/>
      <c r="G674">
        <v>18348</v>
      </c>
      <c r="H674">
        <v>21283.599999999999</v>
      </c>
      <c r="I674" t="s">
        <v>11</v>
      </c>
    </row>
    <row r="675" spans="1:9" x14ac:dyDescent="0.2">
      <c r="A675" t="s">
        <v>18</v>
      </c>
      <c r="B675" t="s">
        <v>10</v>
      </c>
      <c r="C675" s="3">
        <v>43241</v>
      </c>
      <c r="D675" s="3">
        <v>43241</v>
      </c>
      <c r="E675" s="3">
        <v>43271</v>
      </c>
      <c r="F675" s="3"/>
      <c r="G675">
        <v>5012</v>
      </c>
      <c r="H675">
        <v>5813.92</v>
      </c>
      <c r="I675" t="s">
        <v>11</v>
      </c>
    </row>
    <row r="676" spans="1:9" x14ac:dyDescent="0.2">
      <c r="A676" t="s">
        <v>18</v>
      </c>
      <c r="B676" t="s">
        <v>10</v>
      </c>
      <c r="C676" s="3">
        <v>43241</v>
      </c>
      <c r="D676" s="3">
        <v>43241</v>
      </c>
      <c r="E676" s="3">
        <v>43271</v>
      </c>
      <c r="F676" s="3"/>
      <c r="G676">
        <v>11540</v>
      </c>
      <c r="H676">
        <v>13386.4</v>
      </c>
      <c r="I676" t="s">
        <v>11</v>
      </c>
    </row>
    <row r="677" spans="1:9" x14ac:dyDescent="0.2">
      <c r="A677" t="s">
        <v>18</v>
      </c>
      <c r="B677" t="s">
        <v>10</v>
      </c>
      <c r="C677" s="3">
        <v>43241</v>
      </c>
      <c r="D677" s="3">
        <v>43241</v>
      </c>
      <c r="E677" s="3">
        <v>43271</v>
      </c>
      <c r="F677" s="3"/>
      <c r="G677">
        <v>5000</v>
      </c>
      <c r="H677">
        <v>5800</v>
      </c>
      <c r="I677" t="s">
        <v>11</v>
      </c>
    </row>
    <row r="678" spans="1:9" x14ac:dyDescent="0.2">
      <c r="A678" t="s">
        <v>25</v>
      </c>
      <c r="B678" t="s">
        <v>10</v>
      </c>
      <c r="C678" s="3">
        <v>43241</v>
      </c>
      <c r="D678" s="3">
        <v>43241</v>
      </c>
      <c r="E678" s="3">
        <v>43271</v>
      </c>
      <c r="F678" s="3"/>
      <c r="G678">
        <v>19380</v>
      </c>
      <c r="H678">
        <v>22480.799999999999</v>
      </c>
      <c r="I678" t="s">
        <v>11</v>
      </c>
    </row>
    <row r="679" spans="1:9" x14ac:dyDescent="0.2">
      <c r="A679" t="s">
        <v>18</v>
      </c>
      <c r="B679" t="s">
        <v>10</v>
      </c>
      <c r="C679" s="3">
        <v>43241</v>
      </c>
      <c r="D679" s="3">
        <v>43241</v>
      </c>
      <c r="E679" s="3">
        <v>43271</v>
      </c>
      <c r="F679" s="3"/>
      <c r="G679">
        <v>4824</v>
      </c>
      <c r="H679">
        <v>5595.84</v>
      </c>
      <c r="I679" t="s">
        <v>11</v>
      </c>
    </row>
    <row r="680" spans="1:9" x14ac:dyDescent="0.2">
      <c r="A680" t="s">
        <v>41</v>
      </c>
      <c r="B680" t="s">
        <v>10</v>
      </c>
      <c r="C680" s="3">
        <v>43238</v>
      </c>
      <c r="D680" s="3">
        <v>43238</v>
      </c>
      <c r="E680" s="3">
        <v>43246</v>
      </c>
      <c r="F680" s="3"/>
      <c r="G680">
        <v>3785.31</v>
      </c>
      <c r="H680">
        <v>4390.95</v>
      </c>
      <c r="I680" t="s">
        <v>11</v>
      </c>
    </row>
    <row r="681" spans="1:9" x14ac:dyDescent="0.2">
      <c r="A681" t="s">
        <v>12</v>
      </c>
      <c r="B681" t="s">
        <v>10</v>
      </c>
      <c r="C681" s="3">
        <v>43237</v>
      </c>
      <c r="D681" s="3">
        <v>43237</v>
      </c>
      <c r="E681" s="3">
        <v>43267</v>
      </c>
      <c r="F681" s="3"/>
      <c r="G681">
        <v>112706</v>
      </c>
      <c r="H681">
        <v>112706</v>
      </c>
      <c r="I681" t="s">
        <v>11</v>
      </c>
    </row>
    <row r="682" spans="1:9" x14ac:dyDescent="0.2">
      <c r="A682" t="s">
        <v>18</v>
      </c>
      <c r="B682" t="s">
        <v>10</v>
      </c>
      <c r="C682" s="3">
        <v>43237</v>
      </c>
      <c r="D682" s="3">
        <v>43237</v>
      </c>
      <c r="E682" s="3">
        <v>43267</v>
      </c>
      <c r="F682" s="3"/>
      <c r="G682">
        <v>12232</v>
      </c>
      <c r="H682">
        <v>14189.1</v>
      </c>
      <c r="I682" t="s">
        <v>11</v>
      </c>
    </row>
    <row r="683" spans="1:9" x14ac:dyDescent="0.2">
      <c r="A683" t="s">
        <v>41</v>
      </c>
      <c r="B683" t="s">
        <v>10</v>
      </c>
      <c r="C683" s="3">
        <v>43237</v>
      </c>
      <c r="D683" s="3">
        <v>43237</v>
      </c>
      <c r="E683" s="3">
        <v>43245</v>
      </c>
      <c r="F683" s="3"/>
      <c r="G683">
        <v>45523.3</v>
      </c>
      <c r="H683">
        <v>52807</v>
      </c>
      <c r="I683" t="s">
        <v>11</v>
      </c>
    </row>
    <row r="684" spans="1:9" x14ac:dyDescent="0.2">
      <c r="A684" t="s">
        <v>41</v>
      </c>
      <c r="B684" t="s">
        <v>10</v>
      </c>
      <c r="C684" s="3">
        <v>43237</v>
      </c>
      <c r="D684" s="3">
        <v>43237</v>
      </c>
      <c r="E684" s="3">
        <v>43245</v>
      </c>
      <c r="F684" s="3"/>
      <c r="G684">
        <v>5592.26</v>
      </c>
      <c r="H684">
        <v>6487.02</v>
      </c>
      <c r="I684" t="s">
        <v>11</v>
      </c>
    </row>
    <row r="685" spans="1:9" x14ac:dyDescent="0.2">
      <c r="A685" t="s">
        <v>18</v>
      </c>
      <c r="B685" t="s">
        <v>10</v>
      </c>
      <c r="C685" s="3">
        <v>43236</v>
      </c>
      <c r="D685" s="3">
        <v>43236</v>
      </c>
      <c r="E685" s="3">
        <v>43266</v>
      </c>
      <c r="F685" s="3"/>
      <c r="G685">
        <v>4996</v>
      </c>
      <c r="H685">
        <v>5795.36</v>
      </c>
      <c r="I685" t="s">
        <v>11</v>
      </c>
    </row>
    <row r="686" spans="1:9" x14ac:dyDescent="0.2">
      <c r="A686" t="s">
        <v>18</v>
      </c>
      <c r="B686" t="s">
        <v>10</v>
      </c>
      <c r="C686" s="3">
        <v>43236</v>
      </c>
      <c r="D686" s="3">
        <v>43236</v>
      </c>
      <c r="E686" s="3">
        <v>43266</v>
      </c>
      <c r="F686" s="3"/>
      <c r="G686">
        <v>5000</v>
      </c>
      <c r="H686">
        <v>5800</v>
      </c>
      <c r="I686" t="s">
        <v>11</v>
      </c>
    </row>
    <row r="687" spans="1:9" x14ac:dyDescent="0.2">
      <c r="A687" t="s">
        <v>41</v>
      </c>
      <c r="B687" t="s">
        <v>10</v>
      </c>
      <c r="C687" s="3">
        <v>43235</v>
      </c>
      <c r="D687" s="3">
        <v>43235</v>
      </c>
      <c r="E687" s="3">
        <v>43243</v>
      </c>
      <c r="F687" s="3"/>
      <c r="G687">
        <v>541.79999999999995</v>
      </c>
      <c r="H687">
        <v>628.49</v>
      </c>
      <c r="I687" t="s">
        <v>11</v>
      </c>
    </row>
    <row r="688" spans="1:9" x14ac:dyDescent="0.2">
      <c r="A688" t="s">
        <v>41</v>
      </c>
      <c r="B688" t="s">
        <v>10</v>
      </c>
      <c r="C688" s="3">
        <v>43235</v>
      </c>
      <c r="D688" s="3">
        <v>43235</v>
      </c>
      <c r="E688" s="3">
        <v>43243</v>
      </c>
      <c r="F688" s="3"/>
      <c r="G688">
        <v>6966</v>
      </c>
      <c r="H688">
        <v>8080.56</v>
      </c>
      <c r="I688" t="s">
        <v>11</v>
      </c>
    </row>
    <row r="689" spans="1:9" x14ac:dyDescent="0.2">
      <c r="A689" t="s">
        <v>53</v>
      </c>
      <c r="B689" t="s">
        <v>10</v>
      </c>
      <c r="C689" s="3">
        <v>43234</v>
      </c>
      <c r="D689" s="3">
        <v>43234</v>
      </c>
      <c r="E689" s="3">
        <v>43264</v>
      </c>
      <c r="F689" s="3"/>
      <c r="G689">
        <v>5130</v>
      </c>
      <c r="H689">
        <v>5950.8</v>
      </c>
      <c r="I689" t="s">
        <v>11</v>
      </c>
    </row>
    <row r="690" spans="1:9" x14ac:dyDescent="0.2">
      <c r="A690" t="s">
        <v>41</v>
      </c>
      <c r="B690" t="s">
        <v>10</v>
      </c>
      <c r="C690" s="3">
        <v>43234</v>
      </c>
      <c r="D690" s="3">
        <v>43234</v>
      </c>
      <c r="E690" s="3">
        <v>43242</v>
      </c>
      <c r="F690" s="3"/>
      <c r="G690">
        <v>22861.8</v>
      </c>
      <c r="H690">
        <v>26519.599999999999</v>
      </c>
      <c r="I690" t="s">
        <v>11</v>
      </c>
    </row>
    <row r="691" spans="1:9" x14ac:dyDescent="0.2">
      <c r="A691" t="s">
        <v>41</v>
      </c>
      <c r="B691" t="s">
        <v>10</v>
      </c>
      <c r="C691" s="3">
        <v>43234</v>
      </c>
      <c r="D691" s="3">
        <v>43234</v>
      </c>
      <c r="E691" s="3">
        <v>43242</v>
      </c>
      <c r="F691" s="3"/>
      <c r="G691">
        <v>27031.8</v>
      </c>
      <c r="H691">
        <v>31356.9</v>
      </c>
      <c r="I691" t="s">
        <v>11</v>
      </c>
    </row>
    <row r="692" spans="1:9" x14ac:dyDescent="0.2">
      <c r="A692" t="s">
        <v>41</v>
      </c>
      <c r="B692" t="s">
        <v>10</v>
      </c>
      <c r="C692" s="3">
        <v>43231</v>
      </c>
      <c r="D692" s="3">
        <v>43231</v>
      </c>
      <c r="E692" s="3">
        <v>43239</v>
      </c>
      <c r="F692" s="3"/>
      <c r="G692">
        <v>61746.400000000001</v>
      </c>
      <c r="H692">
        <v>71625.8</v>
      </c>
      <c r="I692" t="s">
        <v>11</v>
      </c>
    </row>
    <row r="693" spans="1:9" x14ac:dyDescent="0.2">
      <c r="A693" t="s">
        <v>41</v>
      </c>
      <c r="B693" t="s">
        <v>10</v>
      </c>
      <c r="C693" s="3">
        <v>43231</v>
      </c>
      <c r="D693" s="3">
        <v>43231</v>
      </c>
      <c r="E693" s="3">
        <v>43239</v>
      </c>
      <c r="F693" s="3"/>
      <c r="G693">
        <v>9873.3700000000008</v>
      </c>
      <c r="H693">
        <v>11453.1</v>
      </c>
      <c r="I693" t="s">
        <v>11</v>
      </c>
    </row>
    <row r="694" spans="1:9" x14ac:dyDescent="0.2">
      <c r="A694" t="s">
        <v>18</v>
      </c>
      <c r="B694" t="s">
        <v>10</v>
      </c>
      <c r="C694" s="3">
        <v>43229</v>
      </c>
      <c r="D694" s="3">
        <v>43229</v>
      </c>
      <c r="E694" s="3">
        <v>43259</v>
      </c>
      <c r="F694" s="3"/>
      <c r="G694">
        <v>12898</v>
      </c>
      <c r="H694">
        <v>14961.6</v>
      </c>
      <c r="I694" t="s">
        <v>11</v>
      </c>
    </row>
    <row r="695" spans="1:9" x14ac:dyDescent="0.2">
      <c r="A695" t="s">
        <v>20</v>
      </c>
      <c r="B695" t="s">
        <v>10</v>
      </c>
      <c r="C695" s="3">
        <v>43229</v>
      </c>
      <c r="D695" s="3">
        <v>43229</v>
      </c>
      <c r="E695" s="3">
        <v>43274</v>
      </c>
      <c r="F695" s="3"/>
      <c r="G695">
        <v>40127</v>
      </c>
      <c r="H695">
        <v>46547.3</v>
      </c>
      <c r="I695" t="s">
        <v>11</v>
      </c>
    </row>
    <row r="696" spans="1:9" x14ac:dyDescent="0.2">
      <c r="A696" t="s">
        <v>17</v>
      </c>
      <c r="B696" t="s">
        <v>10</v>
      </c>
      <c r="C696" s="3">
        <v>43224</v>
      </c>
      <c r="D696" s="3">
        <v>43224</v>
      </c>
      <c r="E696" s="3">
        <v>43269</v>
      </c>
      <c r="F696" s="3"/>
      <c r="G696">
        <v>25202</v>
      </c>
      <c r="H696">
        <v>29234.3</v>
      </c>
      <c r="I696" t="s">
        <v>11</v>
      </c>
    </row>
    <row r="697" spans="1:9" x14ac:dyDescent="0.2">
      <c r="A697" t="s">
        <v>41</v>
      </c>
      <c r="B697" t="s">
        <v>10</v>
      </c>
      <c r="C697" s="3">
        <v>43223</v>
      </c>
      <c r="D697" s="3">
        <v>43223</v>
      </c>
      <c r="E697" s="3">
        <v>43231</v>
      </c>
      <c r="F697" s="3"/>
      <c r="G697">
        <v>10935.7</v>
      </c>
      <c r="H697">
        <v>12685.5</v>
      </c>
      <c r="I697" t="s">
        <v>11</v>
      </c>
    </row>
    <row r="698" spans="1:9" x14ac:dyDescent="0.2">
      <c r="A698" t="s">
        <v>41</v>
      </c>
      <c r="B698" t="s">
        <v>10</v>
      </c>
      <c r="C698" s="3">
        <v>43223</v>
      </c>
      <c r="D698" s="3">
        <v>43223</v>
      </c>
      <c r="E698" s="3">
        <v>43231</v>
      </c>
      <c r="F698" s="3"/>
      <c r="G698">
        <v>29963.200000000001</v>
      </c>
      <c r="H698">
        <v>34757.4</v>
      </c>
      <c r="I698" t="s">
        <v>11</v>
      </c>
    </row>
    <row r="699" spans="1:9" x14ac:dyDescent="0.2">
      <c r="A699" t="s">
        <v>18</v>
      </c>
      <c r="B699" t="s">
        <v>10</v>
      </c>
      <c r="C699" s="3">
        <v>43222</v>
      </c>
      <c r="D699" s="3">
        <v>43222</v>
      </c>
      <c r="E699" s="3">
        <v>43252</v>
      </c>
      <c r="F699" s="3"/>
      <c r="G699">
        <v>29480</v>
      </c>
      <c r="H699">
        <v>34196.800000000003</v>
      </c>
      <c r="I699" t="s">
        <v>11</v>
      </c>
    </row>
    <row r="700" spans="1:9" x14ac:dyDescent="0.2">
      <c r="A700" t="s">
        <v>18</v>
      </c>
      <c r="B700" t="s">
        <v>10</v>
      </c>
      <c r="C700" s="3">
        <v>43222</v>
      </c>
      <c r="D700" s="3">
        <v>43222</v>
      </c>
      <c r="E700" s="3">
        <v>43252</v>
      </c>
      <c r="F700" s="3"/>
      <c r="G700">
        <v>5000</v>
      </c>
      <c r="H700">
        <v>5800</v>
      </c>
      <c r="I700" t="s">
        <v>11</v>
      </c>
    </row>
    <row r="701" spans="1:9" x14ac:dyDescent="0.2">
      <c r="A701" t="s">
        <v>41</v>
      </c>
      <c r="B701" t="s">
        <v>10</v>
      </c>
      <c r="C701" s="3">
        <v>43222</v>
      </c>
      <c r="D701" s="3">
        <v>43222</v>
      </c>
      <c r="E701" s="3">
        <v>43230</v>
      </c>
      <c r="F701" s="3"/>
      <c r="G701">
        <v>6263.03</v>
      </c>
      <c r="H701">
        <v>7265.12</v>
      </c>
      <c r="I701" t="s">
        <v>11</v>
      </c>
    </row>
    <row r="702" spans="1:9" x14ac:dyDescent="0.2">
      <c r="A702" t="s">
        <v>18</v>
      </c>
      <c r="B702" t="s">
        <v>10</v>
      </c>
      <c r="C702" s="3">
        <v>43216</v>
      </c>
      <c r="D702" s="3">
        <v>43216</v>
      </c>
      <c r="E702" s="3">
        <v>43246</v>
      </c>
      <c r="F702" s="3"/>
      <c r="G702">
        <v>17424</v>
      </c>
      <c r="H702">
        <v>20211.8</v>
      </c>
      <c r="I702" t="s">
        <v>11</v>
      </c>
    </row>
    <row r="703" spans="1:9" x14ac:dyDescent="0.2">
      <c r="A703" t="s">
        <v>54</v>
      </c>
      <c r="B703" t="s">
        <v>10</v>
      </c>
      <c r="C703" s="3">
        <v>43215</v>
      </c>
      <c r="D703" s="3">
        <v>43215</v>
      </c>
      <c r="E703" s="3">
        <v>43215</v>
      </c>
      <c r="F703" s="3"/>
      <c r="G703">
        <v>4715</v>
      </c>
      <c r="H703">
        <v>5469.4</v>
      </c>
      <c r="I703" t="s">
        <v>11</v>
      </c>
    </row>
    <row r="704" spans="1:9" x14ac:dyDescent="0.2">
      <c r="A704" t="s">
        <v>41</v>
      </c>
      <c r="B704" t="s">
        <v>10</v>
      </c>
      <c r="C704" s="3">
        <v>43214</v>
      </c>
      <c r="D704" s="3">
        <v>43214</v>
      </c>
      <c r="E704" s="3">
        <v>43222</v>
      </c>
      <c r="F704" s="3"/>
      <c r="G704">
        <v>66109.100000000006</v>
      </c>
      <c r="H704">
        <v>76686.600000000006</v>
      </c>
      <c r="I704" t="s">
        <v>11</v>
      </c>
    </row>
    <row r="705" spans="1:9" x14ac:dyDescent="0.2">
      <c r="A705" t="s">
        <v>18</v>
      </c>
      <c r="B705" t="s">
        <v>10</v>
      </c>
      <c r="C705" s="3">
        <v>43213</v>
      </c>
      <c r="D705" s="3">
        <v>43213</v>
      </c>
      <c r="E705" s="3">
        <v>43243</v>
      </c>
      <c r="F705" s="3"/>
      <c r="G705">
        <v>6408</v>
      </c>
      <c r="H705">
        <v>7433.28</v>
      </c>
      <c r="I705" t="s">
        <v>11</v>
      </c>
    </row>
    <row r="706" spans="1:9" x14ac:dyDescent="0.2">
      <c r="A706" t="s">
        <v>41</v>
      </c>
      <c r="B706" t="s">
        <v>10</v>
      </c>
      <c r="C706" s="3">
        <v>43213</v>
      </c>
      <c r="D706" s="3">
        <v>43213</v>
      </c>
      <c r="E706" s="3">
        <v>43221</v>
      </c>
      <c r="F706" s="3"/>
      <c r="G706">
        <v>2193.6</v>
      </c>
      <c r="H706">
        <v>2544.58</v>
      </c>
      <c r="I706" t="s">
        <v>11</v>
      </c>
    </row>
    <row r="707" spans="1:9" x14ac:dyDescent="0.2">
      <c r="A707" t="s">
        <v>40</v>
      </c>
      <c r="B707" t="s">
        <v>10</v>
      </c>
      <c r="C707" s="3">
        <v>43210</v>
      </c>
      <c r="D707" s="3">
        <v>43210</v>
      </c>
      <c r="E707" s="3">
        <v>43225</v>
      </c>
      <c r="F707" s="3"/>
      <c r="G707">
        <v>16673</v>
      </c>
      <c r="H707">
        <v>19340.599999999999</v>
      </c>
      <c r="I707" t="s">
        <v>11</v>
      </c>
    </row>
    <row r="708" spans="1:9" x14ac:dyDescent="0.2">
      <c r="A708" t="s">
        <v>30</v>
      </c>
      <c r="B708" t="s">
        <v>10</v>
      </c>
      <c r="C708" s="3">
        <v>43209</v>
      </c>
      <c r="D708" s="3">
        <v>43209</v>
      </c>
      <c r="E708" s="3">
        <v>43224</v>
      </c>
      <c r="F708" s="3"/>
      <c r="G708">
        <v>542</v>
      </c>
      <c r="H708">
        <v>628.72</v>
      </c>
      <c r="I708" t="s">
        <v>11</v>
      </c>
    </row>
    <row r="709" spans="1:9" x14ac:dyDescent="0.2">
      <c r="A709" t="s">
        <v>25</v>
      </c>
      <c r="B709" t="s">
        <v>10</v>
      </c>
      <c r="C709" s="3">
        <v>43209</v>
      </c>
      <c r="D709" s="3">
        <v>43209</v>
      </c>
      <c r="E709" s="3">
        <v>43239</v>
      </c>
      <c r="F709" s="3"/>
      <c r="G709">
        <v>27490</v>
      </c>
      <c r="H709">
        <v>31888.400000000001</v>
      </c>
      <c r="I709" t="s">
        <v>11</v>
      </c>
    </row>
    <row r="710" spans="1:9" x14ac:dyDescent="0.2">
      <c r="A710" t="s">
        <v>18</v>
      </c>
      <c r="B710" t="s">
        <v>10</v>
      </c>
      <c r="C710" s="3">
        <v>43208</v>
      </c>
      <c r="D710" s="3">
        <v>43208</v>
      </c>
      <c r="E710" s="3">
        <v>43238</v>
      </c>
      <c r="F710" s="3"/>
      <c r="G710">
        <v>17424</v>
      </c>
      <c r="H710">
        <v>20211.8</v>
      </c>
      <c r="I710" t="s">
        <v>11</v>
      </c>
    </row>
    <row r="711" spans="1:9" x14ac:dyDescent="0.2">
      <c r="A711" t="s">
        <v>18</v>
      </c>
      <c r="B711" t="s">
        <v>10</v>
      </c>
      <c r="C711" s="3">
        <v>43206</v>
      </c>
      <c r="D711" s="3">
        <v>43206</v>
      </c>
      <c r="E711" s="3">
        <v>43236</v>
      </c>
      <c r="F711" s="3"/>
      <c r="G711">
        <v>19224</v>
      </c>
      <c r="H711">
        <v>22299.8</v>
      </c>
      <c r="I711" t="s">
        <v>11</v>
      </c>
    </row>
    <row r="712" spans="1:9" x14ac:dyDescent="0.2">
      <c r="A712" t="s">
        <v>17</v>
      </c>
      <c r="B712" t="s">
        <v>10</v>
      </c>
      <c r="C712" s="3">
        <v>43202</v>
      </c>
      <c r="D712" s="3">
        <v>43202</v>
      </c>
      <c r="E712" s="3">
        <v>43247</v>
      </c>
      <c r="F712" s="3"/>
      <c r="G712">
        <v>25202</v>
      </c>
      <c r="H712">
        <v>29234.3</v>
      </c>
      <c r="I712" t="s">
        <v>11</v>
      </c>
    </row>
    <row r="713" spans="1:9" x14ac:dyDescent="0.2">
      <c r="A713" t="s">
        <v>17</v>
      </c>
      <c r="B713" t="s">
        <v>10</v>
      </c>
      <c r="C713" s="3">
        <v>43201</v>
      </c>
      <c r="D713" s="3">
        <v>43201</v>
      </c>
      <c r="E713" s="3">
        <v>43246</v>
      </c>
      <c r="F713" s="3"/>
      <c r="G713">
        <v>25202</v>
      </c>
      <c r="H713">
        <v>29234.3</v>
      </c>
      <c r="I713" t="s">
        <v>11</v>
      </c>
    </row>
    <row r="714" spans="1:9" x14ac:dyDescent="0.2">
      <c r="A714" t="s">
        <v>40</v>
      </c>
      <c r="B714" t="s">
        <v>10</v>
      </c>
      <c r="C714" s="3">
        <v>43201</v>
      </c>
      <c r="D714" s="3">
        <v>43201</v>
      </c>
      <c r="E714" s="3">
        <v>43216</v>
      </c>
      <c r="F714" s="3"/>
      <c r="G714">
        <v>16673</v>
      </c>
      <c r="H714">
        <v>19340.599999999999</v>
      </c>
      <c r="I714" t="s">
        <v>11</v>
      </c>
    </row>
    <row r="715" spans="1:9" x14ac:dyDescent="0.2">
      <c r="A715" t="s">
        <v>18</v>
      </c>
      <c r="B715" t="s">
        <v>10</v>
      </c>
      <c r="C715" s="3">
        <v>43201</v>
      </c>
      <c r="D715" s="3">
        <v>43201</v>
      </c>
      <c r="E715" s="3">
        <v>43231</v>
      </c>
      <c r="F715" s="3"/>
      <c r="G715">
        <v>16532</v>
      </c>
      <c r="H715">
        <v>19177.099999999999</v>
      </c>
      <c r="I715" t="s">
        <v>11</v>
      </c>
    </row>
    <row r="716" spans="1:9" x14ac:dyDescent="0.2">
      <c r="A716" t="s">
        <v>12</v>
      </c>
      <c r="B716" t="s">
        <v>10</v>
      </c>
      <c r="C716" s="3">
        <v>43200</v>
      </c>
      <c r="D716" s="3">
        <v>43200</v>
      </c>
      <c r="E716" s="3">
        <v>43230</v>
      </c>
      <c r="F716" s="3"/>
      <c r="G716">
        <v>74855.600000000006</v>
      </c>
      <c r="H716">
        <v>74855.600000000006</v>
      </c>
      <c r="I716" t="s">
        <v>11</v>
      </c>
    </row>
    <row r="717" spans="1:9" x14ac:dyDescent="0.2">
      <c r="A717" t="s">
        <v>39</v>
      </c>
      <c r="B717" t="s">
        <v>10</v>
      </c>
      <c r="C717" s="3">
        <v>43199</v>
      </c>
      <c r="D717" s="3">
        <v>43199</v>
      </c>
      <c r="E717" s="3">
        <v>43207</v>
      </c>
      <c r="F717" s="3"/>
      <c r="G717">
        <v>8886</v>
      </c>
      <c r="H717">
        <v>10307.700000000001</v>
      </c>
      <c r="I717" t="s">
        <v>11</v>
      </c>
    </row>
    <row r="718" spans="1:9" x14ac:dyDescent="0.2">
      <c r="A718" t="s">
        <v>17</v>
      </c>
      <c r="B718" t="s">
        <v>10</v>
      </c>
      <c r="C718" s="3">
        <v>43196</v>
      </c>
      <c r="D718" s="3">
        <v>43196</v>
      </c>
      <c r="E718" s="3">
        <v>43241</v>
      </c>
      <c r="F718" s="3"/>
      <c r="G718">
        <v>25202</v>
      </c>
      <c r="H718">
        <v>29234.3</v>
      </c>
      <c r="I718" t="s">
        <v>11</v>
      </c>
    </row>
    <row r="719" spans="1:9" x14ac:dyDescent="0.2">
      <c r="A719" t="s">
        <v>41</v>
      </c>
      <c r="B719" t="s">
        <v>10</v>
      </c>
      <c r="C719" s="3">
        <v>43196</v>
      </c>
      <c r="D719" s="3">
        <v>43196</v>
      </c>
      <c r="E719" s="3">
        <v>43204</v>
      </c>
      <c r="F719" s="3"/>
      <c r="G719">
        <v>104052</v>
      </c>
      <c r="H719">
        <v>120700</v>
      </c>
      <c r="I719" t="s">
        <v>11</v>
      </c>
    </row>
    <row r="720" spans="1:9" x14ac:dyDescent="0.2">
      <c r="A720" t="s">
        <v>19</v>
      </c>
      <c r="B720" t="s">
        <v>10</v>
      </c>
      <c r="C720" s="3">
        <v>43195</v>
      </c>
      <c r="D720" s="3">
        <v>43195</v>
      </c>
      <c r="E720" s="3">
        <v>43210</v>
      </c>
      <c r="F720" s="3"/>
      <c r="G720">
        <v>22577</v>
      </c>
      <c r="H720">
        <v>26189.3</v>
      </c>
      <c r="I720" t="s">
        <v>11</v>
      </c>
    </row>
    <row r="721" spans="1:9" x14ac:dyDescent="0.2">
      <c r="A721" t="s">
        <v>18</v>
      </c>
      <c r="B721" t="s">
        <v>10</v>
      </c>
      <c r="C721" s="3">
        <v>43195</v>
      </c>
      <c r="D721" s="3">
        <v>43195</v>
      </c>
      <c r="E721" s="3">
        <v>43225</v>
      </c>
      <c r="F721" s="3"/>
      <c r="G721">
        <v>13844</v>
      </c>
      <c r="H721">
        <v>16059</v>
      </c>
      <c r="I721" t="s">
        <v>11</v>
      </c>
    </row>
    <row r="722" spans="1:9" x14ac:dyDescent="0.2">
      <c r="A722" t="s">
        <v>18</v>
      </c>
      <c r="B722" t="s">
        <v>10</v>
      </c>
      <c r="C722" s="3">
        <v>43194</v>
      </c>
      <c r="D722" s="3">
        <v>43194</v>
      </c>
      <c r="E722" s="3">
        <v>43224</v>
      </c>
      <c r="F722" s="3"/>
      <c r="G722">
        <v>4292</v>
      </c>
      <c r="H722">
        <v>4978.72</v>
      </c>
      <c r="I722" t="s">
        <v>11</v>
      </c>
    </row>
    <row r="723" spans="1:9" x14ac:dyDescent="0.2">
      <c r="A723" t="s">
        <v>41</v>
      </c>
      <c r="B723" t="s">
        <v>10</v>
      </c>
      <c r="C723" s="3">
        <v>43194</v>
      </c>
      <c r="D723" s="3">
        <v>43194</v>
      </c>
      <c r="E723" s="3">
        <v>43202</v>
      </c>
      <c r="F723" s="3"/>
      <c r="G723">
        <v>9702.11</v>
      </c>
      <c r="H723">
        <v>11254.4</v>
      </c>
      <c r="I723" t="s">
        <v>11</v>
      </c>
    </row>
    <row r="724" spans="1:9" x14ac:dyDescent="0.2">
      <c r="A724" t="s">
        <v>18</v>
      </c>
      <c r="B724" t="s">
        <v>10</v>
      </c>
      <c r="C724" s="3">
        <v>43194</v>
      </c>
      <c r="D724" s="3">
        <v>43194</v>
      </c>
      <c r="E724" s="3">
        <v>43224</v>
      </c>
      <c r="F724" s="3"/>
      <c r="G724">
        <v>46904</v>
      </c>
      <c r="H724">
        <v>54408.6</v>
      </c>
      <c r="I724" t="s">
        <v>11</v>
      </c>
    </row>
    <row r="725" spans="1:9" x14ac:dyDescent="0.2">
      <c r="A725" t="s">
        <v>40</v>
      </c>
      <c r="B725" t="s">
        <v>10</v>
      </c>
      <c r="C725" s="3">
        <v>43192</v>
      </c>
      <c r="D725" s="3">
        <v>43192</v>
      </c>
      <c r="E725" s="3">
        <v>43207</v>
      </c>
      <c r="F725" s="3"/>
      <c r="G725">
        <v>17376</v>
      </c>
      <c r="H725">
        <v>20156.099999999999</v>
      </c>
      <c r="I725" t="s">
        <v>11</v>
      </c>
    </row>
    <row r="726" spans="1:9" x14ac:dyDescent="0.2">
      <c r="A726" t="s">
        <v>17</v>
      </c>
      <c r="B726" t="s">
        <v>10</v>
      </c>
      <c r="C726" s="3">
        <v>43187</v>
      </c>
      <c r="D726" s="3">
        <v>43187</v>
      </c>
      <c r="E726" s="3">
        <v>43232</v>
      </c>
      <c r="F726" s="3"/>
      <c r="G726">
        <v>25202</v>
      </c>
      <c r="H726">
        <v>29234.3</v>
      </c>
      <c r="I726" t="s">
        <v>11</v>
      </c>
    </row>
    <row r="727" spans="1:9" x14ac:dyDescent="0.2">
      <c r="A727" t="s">
        <v>41</v>
      </c>
      <c r="B727" t="s">
        <v>10</v>
      </c>
      <c r="C727" s="3">
        <v>43187</v>
      </c>
      <c r="D727" s="3">
        <v>43187</v>
      </c>
      <c r="E727" s="3">
        <v>43195</v>
      </c>
      <c r="F727" s="3"/>
      <c r="G727">
        <v>3119.22</v>
      </c>
      <c r="H727">
        <v>3618.29</v>
      </c>
      <c r="I727" t="s">
        <v>11</v>
      </c>
    </row>
    <row r="728" spans="1:9" x14ac:dyDescent="0.2">
      <c r="A728" t="s">
        <v>17</v>
      </c>
      <c r="B728" t="s">
        <v>10</v>
      </c>
      <c r="C728" s="3">
        <v>43186</v>
      </c>
      <c r="D728" s="3">
        <v>43186</v>
      </c>
      <c r="E728" s="3">
        <v>43231</v>
      </c>
      <c r="F728" s="3"/>
      <c r="G728">
        <v>25202</v>
      </c>
      <c r="H728">
        <v>29234.3</v>
      </c>
      <c r="I728" t="s">
        <v>11</v>
      </c>
    </row>
    <row r="729" spans="1:9" x14ac:dyDescent="0.2">
      <c r="A729" t="s">
        <v>18</v>
      </c>
      <c r="B729" t="s">
        <v>10</v>
      </c>
      <c r="C729" s="3">
        <v>43186</v>
      </c>
      <c r="D729" s="3">
        <v>43186</v>
      </c>
      <c r="E729" s="3">
        <v>43216</v>
      </c>
      <c r="F729" s="3"/>
      <c r="G729">
        <v>13672</v>
      </c>
      <c r="H729">
        <v>15859.5</v>
      </c>
      <c r="I729" t="s">
        <v>11</v>
      </c>
    </row>
    <row r="730" spans="1:9" x14ac:dyDescent="0.2">
      <c r="A730" t="s">
        <v>41</v>
      </c>
      <c r="B730" t="s">
        <v>10</v>
      </c>
      <c r="C730" s="3">
        <v>43186</v>
      </c>
      <c r="D730" s="3">
        <v>43186</v>
      </c>
      <c r="E730" s="3">
        <v>43194</v>
      </c>
      <c r="F730" s="3"/>
      <c r="G730">
        <v>23716.1</v>
      </c>
      <c r="H730">
        <v>27510.7</v>
      </c>
      <c r="I730" t="s">
        <v>11</v>
      </c>
    </row>
    <row r="731" spans="1:9" x14ac:dyDescent="0.2">
      <c r="A731" t="s">
        <v>19</v>
      </c>
      <c r="B731" t="s">
        <v>10</v>
      </c>
      <c r="C731" s="3">
        <v>43185</v>
      </c>
      <c r="D731" s="3">
        <v>43185</v>
      </c>
      <c r="E731" s="3">
        <v>43200</v>
      </c>
      <c r="F731" s="3"/>
      <c r="G731">
        <v>220</v>
      </c>
      <c r="H731">
        <v>255.2</v>
      </c>
      <c r="I731" t="s">
        <v>11</v>
      </c>
    </row>
    <row r="732" spans="1:9" x14ac:dyDescent="0.2">
      <c r="A732" t="s">
        <v>54</v>
      </c>
      <c r="B732" t="s">
        <v>10</v>
      </c>
      <c r="C732" s="3">
        <v>43185</v>
      </c>
      <c r="D732" s="3">
        <v>43185</v>
      </c>
      <c r="E732" s="3">
        <v>43185</v>
      </c>
      <c r="F732" s="3"/>
      <c r="G732">
        <v>5256.84</v>
      </c>
      <c r="H732">
        <v>6097.93</v>
      </c>
      <c r="I732" t="s">
        <v>11</v>
      </c>
    </row>
    <row r="733" spans="1:9" x14ac:dyDescent="0.2">
      <c r="A733" t="s">
        <v>25</v>
      </c>
      <c r="B733" t="s">
        <v>10</v>
      </c>
      <c r="C733" s="3">
        <v>43185</v>
      </c>
      <c r="D733" s="3">
        <v>43185</v>
      </c>
      <c r="E733" s="3">
        <v>43215</v>
      </c>
      <c r="F733" s="3"/>
      <c r="G733">
        <v>5620</v>
      </c>
      <c r="H733">
        <v>6519.2</v>
      </c>
      <c r="I733" t="s">
        <v>11</v>
      </c>
    </row>
    <row r="734" spans="1:9" x14ac:dyDescent="0.2">
      <c r="A734" t="s">
        <v>18</v>
      </c>
      <c r="B734" t="s">
        <v>10</v>
      </c>
      <c r="C734" s="3">
        <v>43182</v>
      </c>
      <c r="D734" s="3">
        <v>43182</v>
      </c>
      <c r="E734" s="3">
        <v>43212</v>
      </c>
      <c r="F734" s="3"/>
      <c r="G734">
        <v>7296</v>
      </c>
      <c r="H734">
        <v>8463.36</v>
      </c>
      <c r="I734" t="s">
        <v>11</v>
      </c>
    </row>
    <row r="735" spans="1:9" x14ac:dyDescent="0.2">
      <c r="A735" t="s">
        <v>52</v>
      </c>
      <c r="B735" t="s">
        <v>10</v>
      </c>
      <c r="C735" s="3">
        <v>43181</v>
      </c>
      <c r="D735" s="3">
        <v>43181</v>
      </c>
      <c r="E735" s="3">
        <v>43188</v>
      </c>
      <c r="F735" s="3"/>
      <c r="G735">
        <v>798</v>
      </c>
      <c r="H735">
        <v>925.68</v>
      </c>
      <c r="I735" t="s">
        <v>38</v>
      </c>
    </row>
    <row r="736" spans="1:9" x14ac:dyDescent="0.2">
      <c r="A736" t="s">
        <v>41</v>
      </c>
      <c r="B736" t="s">
        <v>10</v>
      </c>
      <c r="C736" s="3">
        <v>43181</v>
      </c>
      <c r="D736" s="3">
        <v>43181</v>
      </c>
      <c r="E736" s="3">
        <v>43189</v>
      </c>
      <c r="F736" s="3"/>
      <c r="G736">
        <v>35435.5</v>
      </c>
      <c r="H736">
        <v>41105.199999999997</v>
      </c>
      <c r="I736" t="s">
        <v>11</v>
      </c>
    </row>
    <row r="737" spans="1:9" x14ac:dyDescent="0.2">
      <c r="A737" t="s">
        <v>22</v>
      </c>
      <c r="B737" t="s">
        <v>10</v>
      </c>
      <c r="C737" s="3">
        <v>43180</v>
      </c>
      <c r="D737" s="3">
        <v>43180</v>
      </c>
      <c r="E737" s="3">
        <v>43210</v>
      </c>
      <c r="F737" s="3"/>
      <c r="G737">
        <v>262941</v>
      </c>
      <c r="H737">
        <v>305011</v>
      </c>
      <c r="I737" t="s">
        <v>11</v>
      </c>
    </row>
    <row r="738" spans="1:9" x14ac:dyDescent="0.2">
      <c r="A738" t="s">
        <v>22</v>
      </c>
      <c r="B738" t="s">
        <v>10</v>
      </c>
      <c r="C738" s="3">
        <v>43180</v>
      </c>
      <c r="D738" s="3">
        <v>43180</v>
      </c>
      <c r="E738" s="3">
        <v>43210</v>
      </c>
      <c r="F738" s="3"/>
      <c r="G738">
        <v>7440</v>
      </c>
      <c r="H738">
        <v>8630.4</v>
      </c>
      <c r="I738" t="s">
        <v>11</v>
      </c>
    </row>
    <row r="739" spans="1:9" x14ac:dyDescent="0.2">
      <c r="A739" t="s">
        <v>40</v>
      </c>
      <c r="B739" t="s">
        <v>10</v>
      </c>
      <c r="C739" s="3">
        <v>43180</v>
      </c>
      <c r="D739" s="3">
        <v>43180</v>
      </c>
      <c r="E739" s="3">
        <v>43195</v>
      </c>
      <c r="F739" s="3"/>
      <c r="G739">
        <v>18079</v>
      </c>
      <c r="H739">
        <v>20971.599999999999</v>
      </c>
      <c r="I739" t="s">
        <v>11</v>
      </c>
    </row>
    <row r="740" spans="1:9" x14ac:dyDescent="0.2">
      <c r="A740" t="s">
        <v>20</v>
      </c>
      <c r="B740" t="s">
        <v>10</v>
      </c>
      <c r="C740" s="3">
        <v>43180</v>
      </c>
      <c r="D740" s="3">
        <v>43180</v>
      </c>
      <c r="E740" s="3">
        <v>43225</v>
      </c>
      <c r="F740" s="3"/>
      <c r="G740">
        <v>20032</v>
      </c>
      <c r="H740">
        <v>23237.1</v>
      </c>
      <c r="I740" t="s">
        <v>11</v>
      </c>
    </row>
    <row r="741" spans="1:9" x14ac:dyDescent="0.2">
      <c r="A741" t="s">
        <v>41</v>
      </c>
      <c r="B741" t="s">
        <v>10</v>
      </c>
      <c r="C741" s="3">
        <v>43180</v>
      </c>
      <c r="D741" s="3">
        <v>43180</v>
      </c>
      <c r="E741" s="3">
        <v>43188</v>
      </c>
      <c r="F741" s="3"/>
      <c r="G741">
        <v>2471.04</v>
      </c>
      <c r="H741">
        <v>2866.41</v>
      </c>
      <c r="I741" t="s">
        <v>11</v>
      </c>
    </row>
    <row r="742" spans="1:9" x14ac:dyDescent="0.2">
      <c r="A742" t="s">
        <v>41</v>
      </c>
      <c r="B742" t="s">
        <v>10</v>
      </c>
      <c r="C742" s="3">
        <v>43179</v>
      </c>
      <c r="D742" s="3">
        <v>43179</v>
      </c>
      <c r="E742" s="3">
        <v>43187</v>
      </c>
      <c r="F742" s="3"/>
      <c r="G742">
        <v>1234.2</v>
      </c>
      <c r="H742">
        <v>1431.67</v>
      </c>
      <c r="I742" t="s">
        <v>11</v>
      </c>
    </row>
    <row r="743" spans="1:9" x14ac:dyDescent="0.2">
      <c r="A743" t="s">
        <v>19</v>
      </c>
      <c r="B743" t="s">
        <v>10</v>
      </c>
      <c r="C743" s="3">
        <v>43179</v>
      </c>
      <c r="D743" s="3">
        <v>43179</v>
      </c>
      <c r="E743" s="3">
        <v>43194</v>
      </c>
      <c r="F743" s="3"/>
      <c r="G743">
        <v>5495</v>
      </c>
      <c r="H743">
        <v>6374.2</v>
      </c>
      <c r="I743" t="s">
        <v>11</v>
      </c>
    </row>
    <row r="744" spans="1:9" x14ac:dyDescent="0.2">
      <c r="A744" t="s">
        <v>41</v>
      </c>
      <c r="B744" t="s">
        <v>10</v>
      </c>
      <c r="C744" s="3">
        <v>43175</v>
      </c>
      <c r="D744" s="3">
        <v>43175</v>
      </c>
      <c r="E744" s="3">
        <v>43183</v>
      </c>
      <c r="F744" s="3"/>
      <c r="G744">
        <v>557.70000000000005</v>
      </c>
      <c r="H744">
        <v>646.92999999999995</v>
      </c>
      <c r="I744" t="s">
        <v>11</v>
      </c>
    </row>
    <row r="745" spans="1:9" x14ac:dyDescent="0.2">
      <c r="A745" t="s">
        <v>18</v>
      </c>
      <c r="B745" t="s">
        <v>10</v>
      </c>
      <c r="C745" s="3">
        <v>43173</v>
      </c>
      <c r="D745" s="3">
        <v>43173</v>
      </c>
      <c r="E745" s="3">
        <v>43203</v>
      </c>
      <c r="F745" s="3"/>
      <c r="G745">
        <v>3461</v>
      </c>
      <c r="H745">
        <v>4014.76</v>
      </c>
      <c r="I745" t="s">
        <v>11</v>
      </c>
    </row>
    <row r="746" spans="1:9" x14ac:dyDescent="0.2">
      <c r="A746" t="s">
        <v>17</v>
      </c>
      <c r="B746" t="s">
        <v>10</v>
      </c>
      <c r="C746" s="3">
        <v>43172</v>
      </c>
      <c r="D746" s="3">
        <v>43172</v>
      </c>
      <c r="E746" s="3">
        <v>43217</v>
      </c>
      <c r="F746" s="3"/>
      <c r="G746">
        <v>25202</v>
      </c>
      <c r="H746">
        <v>29234.3</v>
      </c>
      <c r="I746" t="s">
        <v>11</v>
      </c>
    </row>
    <row r="747" spans="1:9" x14ac:dyDescent="0.2">
      <c r="A747" t="s">
        <v>18</v>
      </c>
      <c r="B747" t="s">
        <v>10</v>
      </c>
      <c r="C747" s="3">
        <v>43171</v>
      </c>
      <c r="D747" s="3">
        <v>43171</v>
      </c>
      <c r="E747" s="3">
        <v>43201</v>
      </c>
      <c r="F747" s="3"/>
      <c r="G747">
        <v>10887</v>
      </c>
      <c r="H747">
        <v>12628.9</v>
      </c>
      <c r="I747" t="s">
        <v>11</v>
      </c>
    </row>
    <row r="748" spans="1:9" x14ac:dyDescent="0.2">
      <c r="A748" t="s">
        <v>17</v>
      </c>
      <c r="B748" t="s">
        <v>10</v>
      </c>
      <c r="C748" s="3">
        <v>43171</v>
      </c>
      <c r="D748" s="3">
        <v>43171</v>
      </c>
      <c r="E748" s="3">
        <v>43216</v>
      </c>
      <c r="F748" s="3"/>
      <c r="G748">
        <v>25202</v>
      </c>
      <c r="H748">
        <v>29234.3</v>
      </c>
      <c r="I748" t="s">
        <v>11</v>
      </c>
    </row>
    <row r="749" spans="1:9" x14ac:dyDescent="0.2">
      <c r="A749" t="s">
        <v>18</v>
      </c>
      <c r="B749" t="s">
        <v>10</v>
      </c>
      <c r="C749" s="3">
        <v>43171</v>
      </c>
      <c r="D749" s="3">
        <v>43171</v>
      </c>
      <c r="E749" s="3">
        <v>43201</v>
      </c>
      <c r="F749" s="3"/>
      <c r="G749">
        <v>24004</v>
      </c>
      <c r="H749">
        <v>27844.6</v>
      </c>
      <c r="I749" t="s">
        <v>11</v>
      </c>
    </row>
    <row r="750" spans="1:9" x14ac:dyDescent="0.2">
      <c r="A750" t="s">
        <v>9</v>
      </c>
      <c r="B750" t="s">
        <v>10</v>
      </c>
      <c r="C750" s="3">
        <v>43168</v>
      </c>
      <c r="D750" s="3">
        <v>43168</v>
      </c>
      <c r="E750" s="3">
        <v>43175</v>
      </c>
      <c r="F750" s="3"/>
      <c r="G750">
        <v>1975</v>
      </c>
      <c r="H750">
        <v>2291</v>
      </c>
      <c r="I750" t="s">
        <v>11</v>
      </c>
    </row>
    <row r="751" spans="1:9" x14ac:dyDescent="0.2">
      <c r="A751" t="s">
        <v>19</v>
      </c>
      <c r="B751" t="s">
        <v>10</v>
      </c>
      <c r="C751" s="3">
        <v>43167</v>
      </c>
      <c r="D751" s="3">
        <v>43167</v>
      </c>
      <c r="E751" s="3">
        <v>43182</v>
      </c>
      <c r="F751" s="3"/>
      <c r="G751">
        <v>7264</v>
      </c>
      <c r="H751">
        <v>8426.24</v>
      </c>
      <c r="I751" t="s">
        <v>11</v>
      </c>
    </row>
    <row r="752" spans="1:9" x14ac:dyDescent="0.2">
      <c r="A752" t="s">
        <v>18</v>
      </c>
      <c r="B752" t="s">
        <v>10</v>
      </c>
      <c r="C752" s="3">
        <v>43167</v>
      </c>
      <c r="D752" s="3">
        <v>43167</v>
      </c>
      <c r="E752" s="3">
        <v>43197</v>
      </c>
      <c r="F752" s="3"/>
      <c r="G752">
        <v>24004</v>
      </c>
      <c r="H752">
        <v>27844.6</v>
      </c>
      <c r="I752" t="s">
        <v>11</v>
      </c>
    </row>
    <row r="753" spans="1:9" x14ac:dyDescent="0.2">
      <c r="A753" t="s">
        <v>20</v>
      </c>
      <c r="B753" t="s">
        <v>10</v>
      </c>
      <c r="C753" s="3">
        <v>43166</v>
      </c>
      <c r="D753" s="3">
        <v>43166</v>
      </c>
      <c r="E753" s="3">
        <v>43211</v>
      </c>
      <c r="F753" s="3"/>
      <c r="G753">
        <v>39094</v>
      </c>
      <c r="H753">
        <v>45349</v>
      </c>
      <c r="I753" t="s">
        <v>11</v>
      </c>
    </row>
    <row r="754" spans="1:9" x14ac:dyDescent="0.2">
      <c r="A754" t="s">
        <v>41</v>
      </c>
      <c r="B754" t="s">
        <v>10</v>
      </c>
      <c r="C754" s="3">
        <v>43164</v>
      </c>
      <c r="D754" s="3">
        <v>43164</v>
      </c>
      <c r="E754" s="3">
        <v>43172</v>
      </c>
      <c r="F754" s="3"/>
      <c r="G754">
        <v>3268.25</v>
      </c>
      <c r="H754">
        <v>3791.17</v>
      </c>
      <c r="I754" t="s">
        <v>11</v>
      </c>
    </row>
    <row r="755" spans="1:9" x14ac:dyDescent="0.2">
      <c r="A755" t="s">
        <v>41</v>
      </c>
      <c r="B755" t="s">
        <v>10</v>
      </c>
      <c r="C755" s="3">
        <v>43164</v>
      </c>
      <c r="D755" s="3">
        <v>43164</v>
      </c>
      <c r="E755" s="3">
        <v>43172</v>
      </c>
      <c r="F755" s="3"/>
      <c r="G755">
        <v>5060.8900000000003</v>
      </c>
      <c r="H755">
        <v>5870.64</v>
      </c>
      <c r="I755" t="s">
        <v>11</v>
      </c>
    </row>
    <row r="756" spans="1:9" x14ac:dyDescent="0.2">
      <c r="A756" t="s">
        <v>17</v>
      </c>
      <c r="B756" t="s">
        <v>10</v>
      </c>
      <c r="C756" s="3">
        <v>43161</v>
      </c>
      <c r="D756" s="3">
        <v>43161</v>
      </c>
      <c r="E756" s="3">
        <v>43206</v>
      </c>
      <c r="F756" s="3"/>
      <c r="G756">
        <v>25202</v>
      </c>
      <c r="H756">
        <v>29234.3</v>
      </c>
      <c r="I756" t="s">
        <v>11</v>
      </c>
    </row>
    <row r="757" spans="1:9" x14ac:dyDescent="0.2">
      <c r="A757" t="s">
        <v>19</v>
      </c>
      <c r="B757" t="s">
        <v>10</v>
      </c>
      <c r="C757" s="3">
        <v>43161</v>
      </c>
      <c r="D757" s="3">
        <v>43195</v>
      </c>
      <c r="E757" s="3">
        <v>43176</v>
      </c>
      <c r="F757" s="3"/>
      <c r="G757">
        <v>29480</v>
      </c>
      <c r="H757">
        <v>34196.800000000003</v>
      </c>
      <c r="I757" t="s">
        <v>11</v>
      </c>
    </row>
    <row r="758" spans="1:9" x14ac:dyDescent="0.2">
      <c r="A758" t="s">
        <v>41</v>
      </c>
      <c r="B758" t="s">
        <v>10</v>
      </c>
      <c r="C758" s="3">
        <v>43161</v>
      </c>
      <c r="D758" s="3">
        <v>43161</v>
      </c>
      <c r="E758" s="3">
        <v>43169</v>
      </c>
      <c r="F758" s="3"/>
      <c r="G758">
        <v>9789.15</v>
      </c>
      <c r="H758">
        <v>11355.4</v>
      </c>
      <c r="I758" t="s">
        <v>11</v>
      </c>
    </row>
    <row r="759" spans="1:9" x14ac:dyDescent="0.2">
      <c r="A759" t="s">
        <v>41</v>
      </c>
      <c r="B759" t="s">
        <v>10</v>
      </c>
      <c r="C759" s="3">
        <v>43161</v>
      </c>
      <c r="D759" s="3">
        <v>43161</v>
      </c>
      <c r="E759" s="3">
        <v>43169</v>
      </c>
      <c r="F759" s="3"/>
      <c r="G759">
        <v>83158.899999999994</v>
      </c>
      <c r="H759">
        <v>96464.3</v>
      </c>
      <c r="I759" t="s">
        <v>11</v>
      </c>
    </row>
    <row r="760" spans="1:9" x14ac:dyDescent="0.2">
      <c r="A760" t="s">
        <v>17</v>
      </c>
      <c r="B760" t="s">
        <v>10</v>
      </c>
      <c r="C760" s="3">
        <v>43160</v>
      </c>
      <c r="D760" s="3">
        <v>43160</v>
      </c>
      <c r="E760" s="3">
        <v>43205</v>
      </c>
      <c r="F760" s="3"/>
      <c r="G760">
        <v>25202</v>
      </c>
      <c r="H760">
        <v>29234.3</v>
      </c>
      <c r="I760" t="s">
        <v>11</v>
      </c>
    </row>
    <row r="761" spans="1:9" x14ac:dyDescent="0.2">
      <c r="A761" t="s">
        <v>13</v>
      </c>
      <c r="B761" t="s">
        <v>10</v>
      </c>
      <c r="C761" s="3">
        <v>43160</v>
      </c>
      <c r="D761" s="3">
        <v>43160</v>
      </c>
      <c r="E761" s="3">
        <v>43190</v>
      </c>
      <c r="F761" s="3"/>
      <c r="G761">
        <v>13584</v>
      </c>
      <c r="H761">
        <v>15757.4</v>
      </c>
      <c r="I761" t="s">
        <v>11</v>
      </c>
    </row>
    <row r="762" spans="1:9" x14ac:dyDescent="0.2">
      <c r="A762" t="s">
        <v>41</v>
      </c>
      <c r="B762" t="s">
        <v>10</v>
      </c>
      <c r="C762" s="3">
        <v>43160</v>
      </c>
      <c r="D762" s="3">
        <v>43160</v>
      </c>
      <c r="E762" s="3">
        <v>43168</v>
      </c>
      <c r="F762" s="3"/>
      <c r="G762">
        <v>10323</v>
      </c>
      <c r="H762">
        <v>11974.7</v>
      </c>
      <c r="I762" t="s">
        <v>11</v>
      </c>
    </row>
    <row r="763" spans="1:9" x14ac:dyDescent="0.2">
      <c r="A763" t="s">
        <v>41</v>
      </c>
      <c r="B763" t="s">
        <v>10</v>
      </c>
      <c r="C763" s="3">
        <v>43160</v>
      </c>
      <c r="D763" s="3">
        <v>43160</v>
      </c>
      <c r="E763" s="3">
        <v>43168</v>
      </c>
      <c r="F763" s="3"/>
      <c r="G763">
        <v>7066.92</v>
      </c>
      <c r="H763">
        <v>8197.6299999999992</v>
      </c>
      <c r="I763" t="s">
        <v>11</v>
      </c>
    </row>
    <row r="764" spans="1:9" x14ac:dyDescent="0.2">
      <c r="A764" t="s">
        <v>41</v>
      </c>
      <c r="B764" t="s">
        <v>10</v>
      </c>
      <c r="C764" s="3">
        <v>43160</v>
      </c>
      <c r="D764" s="3">
        <v>43160</v>
      </c>
      <c r="E764" s="3">
        <v>43168</v>
      </c>
      <c r="F764" s="3"/>
      <c r="G764">
        <v>8298.23</v>
      </c>
      <c r="H764">
        <v>9625.94</v>
      </c>
      <c r="I764" t="s">
        <v>11</v>
      </c>
    </row>
    <row r="765" spans="1:9" x14ac:dyDescent="0.2">
      <c r="A765" t="s">
        <v>41</v>
      </c>
      <c r="B765" t="s">
        <v>10</v>
      </c>
      <c r="C765" s="3">
        <v>43160</v>
      </c>
      <c r="D765" s="3">
        <v>43160</v>
      </c>
      <c r="E765" s="3">
        <v>43168</v>
      </c>
      <c r="F765" s="3"/>
      <c r="G765">
        <v>22202.400000000001</v>
      </c>
      <c r="H765">
        <v>25754.799999999999</v>
      </c>
      <c r="I765" t="s">
        <v>11</v>
      </c>
    </row>
    <row r="766" spans="1:9" x14ac:dyDescent="0.2">
      <c r="A766" t="s">
        <v>41</v>
      </c>
      <c r="B766" t="s">
        <v>10</v>
      </c>
      <c r="C766" s="3">
        <v>43159</v>
      </c>
      <c r="D766" s="3">
        <v>43159</v>
      </c>
      <c r="E766" s="3">
        <v>43167</v>
      </c>
      <c r="F766" s="3"/>
      <c r="G766">
        <v>12927.4</v>
      </c>
      <c r="H766">
        <v>14995.8</v>
      </c>
      <c r="I766" t="s">
        <v>11</v>
      </c>
    </row>
    <row r="767" spans="1:9" x14ac:dyDescent="0.2">
      <c r="A767" t="s">
        <v>40</v>
      </c>
      <c r="B767" t="s">
        <v>10</v>
      </c>
      <c r="C767" s="3">
        <v>43159</v>
      </c>
      <c r="D767" s="3">
        <v>43159</v>
      </c>
      <c r="E767" s="3">
        <v>43174</v>
      </c>
      <c r="F767" s="3"/>
      <c r="G767">
        <v>9100</v>
      </c>
      <c r="H767">
        <v>10556</v>
      </c>
      <c r="I767" t="s">
        <v>11</v>
      </c>
    </row>
    <row r="768" spans="1:9" x14ac:dyDescent="0.2">
      <c r="A768" t="s">
        <v>40</v>
      </c>
      <c r="B768" t="s">
        <v>10</v>
      </c>
      <c r="C768" s="3">
        <v>43159</v>
      </c>
      <c r="D768" s="3">
        <v>43159</v>
      </c>
      <c r="E768" s="3">
        <v>43174</v>
      </c>
      <c r="F768" s="3"/>
      <c r="G768">
        <v>34800</v>
      </c>
      <c r="H768">
        <v>40368</v>
      </c>
      <c r="I768" t="s">
        <v>11</v>
      </c>
    </row>
    <row r="769" spans="1:9" x14ac:dyDescent="0.2">
      <c r="A769" t="s">
        <v>17</v>
      </c>
      <c r="B769" t="s">
        <v>10</v>
      </c>
      <c r="C769" s="3">
        <v>43159</v>
      </c>
      <c r="D769" s="3">
        <v>43159</v>
      </c>
      <c r="E769" s="3">
        <v>43204</v>
      </c>
      <c r="F769" s="3"/>
      <c r="G769">
        <v>25202</v>
      </c>
      <c r="H769">
        <v>29234.3</v>
      </c>
      <c r="I769" t="s">
        <v>11</v>
      </c>
    </row>
    <row r="770" spans="1:9" x14ac:dyDescent="0.2">
      <c r="A770" t="s">
        <v>41</v>
      </c>
      <c r="B770" t="s">
        <v>10</v>
      </c>
      <c r="C770" s="3">
        <v>43159</v>
      </c>
      <c r="D770" s="3">
        <v>43159</v>
      </c>
      <c r="E770" s="3">
        <v>43167</v>
      </c>
      <c r="F770" s="3"/>
      <c r="G770">
        <v>4066.63</v>
      </c>
      <c r="H770">
        <v>4717.29</v>
      </c>
      <c r="I770" t="s">
        <v>11</v>
      </c>
    </row>
    <row r="771" spans="1:9" x14ac:dyDescent="0.2">
      <c r="A771" t="s">
        <v>41</v>
      </c>
      <c r="B771" t="s">
        <v>10</v>
      </c>
      <c r="C771" s="3">
        <v>43157</v>
      </c>
      <c r="D771" s="3">
        <v>43157</v>
      </c>
      <c r="E771" s="3">
        <v>43165</v>
      </c>
      <c r="F771" s="3"/>
      <c r="G771">
        <v>12750</v>
      </c>
      <c r="H771">
        <v>14790</v>
      </c>
      <c r="I771" t="s">
        <v>11</v>
      </c>
    </row>
    <row r="772" spans="1:9" x14ac:dyDescent="0.2">
      <c r="A772" t="s">
        <v>18</v>
      </c>
      <c r="B772" t="s">
        <v>10</v>
      </c>
      <c r="C772" s="3">
        <v>43156</v>
      </c>
      <c r="D772" s="3">
        <v>43156</v>
      </c>
      <c r="E772" s="3">
        <v>43186</v>
      </c>
      <c r="F772" s="3"/>
      <c r="G772">
        <v>16532</v>
      </c>
      <c r="H772">
        <v>19177.099999999999</v>
      </c>
      <c r="I772" t="s">
        <v>11</v>
      </c>
    </row>
    <row r="773" spans="1:9" x14ac:dyDescent="0.2">
      <c r="A773" t="s">
        <v>17</v>
      </c>
      <c r="B773" t="s">
        <v>10</v>
      </c>
      <c r="C773" s="3">
        <v>43154</v>
      </c>
      <c r="D773" s="3">
        <v>43154</v>
      </c>
      <c r="E773" s="3">
        <v>43199</v>
      </c>
      <c r="F773" s="3"/>
      <c r="G773">
        <v>25202</v>
      </c>
      <c r="H773">
        <v>29234.3</v>
      </c>
      <c r="I773" t="s">
        <v>11</v>
      </c>
    </row>
    <row r="774" spans="1:9" x14ac:dyDescent="0.2">
      <c r="A774" t="s">
        <v>17</v>
      </c>
      <c r="B774" t="s">
        <v>10</v>
      </c>
      <c r="C774" s="3">
        <v>43154</v>
      </c>
      <c r="D774" s="3">
        <v>43154</v>
      </c>
      <c r="E774" s="3">
        <v>43199</v>
      </c>
      <c r="F774" s="3"/>
      <c r="G774">
        <v>25202</v>
      </c>
      <c r="H774">
        <v>29234.3</v>
      </c>
      <c r="I774" t="s">
        <v>11</v>
      </c>
    </row>
    <row r="775" spans="1:9" x14ac:dyDescent="0.2">
      <c r="A775" t="s">
        <v>41</v>
      </c>
      <c r="B775" t="s">
        <v>10</v>
      </c>
      <c r="C775" s="3">
        <v>43154</v>
      </c>
      <c r="D775" s="3">
        <v>43154</v>
      </c>
      <c r="E775" s="3">
        <v>43162</v>
      </c>
      <c r="F775" s="3"/>
      <c r="G775">
        <v>16809.599999999999</v>
      </c>
      <c r="H775">
        <v>19499.099999999999</v>
      </c>
      <c r="I775" t="s">
        <v>11</v>
      </c>
    </row>
    <row r="776" spans="1:9" x14ac:dyDescent="0.2">
      <c r="A776" t="s">
        <v>19</v>
      </c>
      <c r="B776" t="s">
        <v>10</v>
      </c>
      <c r="C776" s="3">
        <v>43153</v>
      </c>
      <c r="D776" s="3">
        <v>43153</v>
      </c>
      <c r="E776" s="3">
        <v>43168</v>
      </c>
      <c r="F776" s="3"/>
      <c r="G776">
        <v>22577</v>
      </c>
      <c r="H776">
        <v>26189.3</v>
      </c>
      <c r="I776" t="s">
        <v>11</v>
      </c>
    </row>
    <row r="777" spans="1:9" x14ac:dyDescent="0.2">
      <c r="A777" t="s">
        <v>19</v>
      </c>
      <c r="B777" t="s">
        <v>10</v>
      </c>
      <c r="C777" s="3">
        <v>43151</v>
      </c>
      <c r="D777" s="3">
        <v>43151</v>
      </c>
      <c r="E777" s="3">
        <v>43166</v>
      </c>
      <c r="F777" s="3"/>
      <c r="G777">
        <v>29480</v>
      </c>
      <c r="H777">
        <v>34196.800000000003</v>
      </c>
      <c r="I777" t="s">
        <v>11</v>
      </c>
    </row>
    <row r="778" spans="1:9" x14ac:dyDescent="0.2">
      <c r="A778" t="s">
        <v>40</v>
      </c>
      <c r="B778" t="s">
        <v>10</v>
      </c>
      <c r="C778" s="3">
        <v>43151</v>
      </c>
      <c r="D778" s="3">
        <v>43151</v>
      </c>
      <c r="E778" s="3">
        <v>43166</v>
      </c>
      <c r="F778" s="3"/>
      <c r="G778">
        <v>34800</v>
      </c>
      <c r="H778">
        <v>40368</v>
      </c>
      <c r="I778" t="s">
        <v>11</v>
      </c>
    </row>
    <row r="779" spans="1:9" x14ac:dyDescent="0.2">
      <c r="A779" t="s">
        <v>40</v>
      </c>
      <c r="B779" t="s">
        <v>10</v>
      </c>
      <c r="C779" s="3">
        <v>43150</v>
      </c>
      <c r="D779" s="3">
        <v>43150</v>
      </c>
      <c r="E779" s="3">
        <v>43165</v>
      </c>
      <c r="F779" s="3"/>
      <c r="G779">
        <v>9100</v>
      </c>
      <c r="H779">
        <v>10556</v>
      </c>
      <c r="I779" t="s">
        <v>11</v>
      </c>
    </row>
    <row r="780" spans="1:9" x14ac:dyDescent="0.2">
      <c r="A780" t="s">
        <v>41</v>
      </c>
      <c r="B780" t="s">
        <v>10</v>
      </c>
      <c r="C780" s="3">
        <v>43146</v>
      </c>
      <c r="D780" s="3">
        <v>43146</v>
      </c>
      <c r="E780" s="3">
        <v>43154</v>
      </c>
      <c r="F780" s="3"/>
      <c r="G780">
        <v>54559.199999999997</v>
      </c>
      <c r="H780">
        <v>63288.7</v>
      </c>
      <c r="I780" t="s">
        <v>11</v>
      </c>
    </row>
    <row r="781" spans="1:9" x14ac:dyDescent="0.2">
      <c r="A781" t="s">
        <v>41</v>
      </c>
      <c r="B781" t="s">
        <v>10</v>
      </c>
      <c r="C781" s="3">
        <v>43137</v>
      </c>
      <c r="D781" s="3">
        <v>43137</v>
      </c>
      <c r="E781" s="3">
        <v>43145</v>
      </c>
      <c r="F781" s="3"/>
      <c r="G781">
        <v>47373.7</v>
      </c>
      <c r="H781">
        <v>54953.5</v>
      </c>
      <c r="I781" t="s">
        <v>11</v>
      </c>
    </row>
    <row r="782" spans="1:9" x14ac:dyDescent="0.2">
      <c r="A782" t="s">
        <v>26</v>
      </c>
      <c r="B782" t="s">
        <v>10</v>
      </c>
      <c r="C782" s="3">
        <v>43133</v>
      </c>
      <c r="D782" s="3">
        <v>43133</v>
      </c>
      <c r="E782" s="3">
        <v>43140</v>
      </c>
      <c r="F782" s="3"/>
      <c r="G782">
        <v>11631.2</v>
      </c>
      <c r="H782">
        <v>13492.2</v>
      </c>
      <c r="I782" t="s">
        <v>11</v>
      </c>
    </row>
    <row r="783" spans="1:9" x14ac:dyDescent="0.2">
      <c r="A783" t="s">
        <v>40</v>
      </c>
      <c r="B783" t="s">
        <v>10</v>
      </c>
      <c r="C783" s="3">
        <v>43133</v>
      </c>
      <c r="D783" s="3">
        <v>43133</v>
      </c>
      <c r="E783" s="3">
        <v>43148</v>
      </c>
      <c r="F783" s="3"/>
      <c r="G783">
        <v>38572</v>
      </c>
      <c r="H783">
        <v>44743.5</v>
      </c>
      <c r="I783" t="s">
        <v>11</v>
      </c>
    </row>
    <row r="784" spans="1:9" x14ac:dyDescent="0.2">
      <c r="A784" t="s">
        <v>41</v>
      </c>
      <c r="B784" t="s">
        <v>10</v>
      </c>
      <c r="C784" s="3">
        <v>43131</v>
      </c>
      <c r="D784" s="3">
        <v>43131</v>
      </c>
      <c r="E784" s="3">
        <v>43139</v>
      </c>
      <c r="F784" s="3"/>
      <c r="G784">
        <v>41072</v>
      </c>
      <c r="H784">
        <v>47643.5</v>
      </c>
      <c r="I784" t="s">
        <v>11</v>
      </c>
    </row>
    <row r="785" spans="1:9" x14ac:dyDescent="0.2">
      <c r="A785" t="s">
        <v>41</v>
      </c>
      <c r="B785" t="s">
        <v>10</v>
      </c>
      <c r="C785" s="3">
        <v>43131</v>
      </c>
      <c r="D785" s="3">
        <v>43131</v>
      </c>
      <c r="E785" s="3">
        <v>43139</v>
      </c>
      <c r="F785" s="3"/>
      <c r="G785">
        <v>23461.200000000001</v>
      </c>
      <c r="H785">
        <v>27214.9</v>
      </c>
      <c r="I785" t="s">
        <v>11</v>
      </c>
    </row>
    <row r="786" spans="1:9" x14ac:dyDescent="0.2">
      <c r="A786" t="s">
        <v>18</v>
      </c>
      <c r="B786" t="s">
        <v>10</v>
      </c>
      <c r="C786" s="3">
        <v>43130</v>
      </c>
      <c r="D786" s="3">
        <v>43130</v>
      </c>
      <c r="E786" s="3">
        <v>43160</v>
      </c>
      <c r="F786" s="3"/>
      <c r="G786">
        <v>7722</v>
      </c>
      <c r="H786">
        <v>8957.52</v>
      </c>
      <c r="I786" t="s">
        <v>11</v>
      </c>
    </row>
    <row r="787" spans="1:9" x14ac:dyDescent="0.2">
      <c r="A787" t="s">
        <v>9</v>
      </c>
      <c r="B787" t="s">
        <v>10</v>
      </c>
      <c r="C787" s="3">
        <v>43130</v>
      </c>
      <c r="D787" s="3">
        <v>43130</v>
      </c>
      <c r="E787" s="3">
        <v>43137</v>
      </c>
      <c r="F787" s="3"/>
      <c r="G787">
        <v>2203</v>
      </c>
      <c r="H787">
        <v>2555.48</v>
      </c>
      <c r="I787" t="s">
        <v>11</v>
      </c>
    </row>
    <row r="788" spans="1:9" x14ac:dyDescent="0.2">
      <c r="A788" t="s">
        <v>22</v>
      </c>
      <c r="B788" t="s">
        <v>10</v>
      </c>
      <c r="C788" s="3">
        <v>43130</v>
      </c>
      <c r="D788" s="3">
        <v>43130</v>
      </c>
      <c r="E788" s="3">
        <v>43160</v>
      </c>
      <c r="F788" s="3"/>
      <c r="G788">
        <v>63444.4</v>
      </c>
      <c r="H788">
        <v>73595.5</v>
      </c>
      <c r="I788" t="s">
        <v>11</v>
      </c>
    </row>
    <row r="789" spans="1:9" x14ac:dyDescent="0.2">
      <c r="A789" t="s">
        <v>22</v>
      </c>
      <c r="B789" t="s">
        <v>10</v>
      </c>
      <c r="C789" s="3">
        <v>43130</v>
      </c>
      <c r="D789" s="3">
        <v>43130</v>
      </c>
      <c r="E789" s="3">
        <v>43160</v>
      </c>
      <c r="F789" s="3"/>
      <c r="G789">
        <v>2320</v>
      </c>
      <c r="H789">
        <v>2691.2</v>
      </c>
      <c r="I789" t="s">
        <v>11</v>
      </c>
    </row>
    <row r="790" spans="1:9" x14ac:dyDescent="0.2">
      <c r="A790" t="s">
        <v>20</v>
      </c>
      <c r="B790" t="s">
        <v>10</v>
      </c>
      <c r="C790" s="3">
        <v>43129</v>
      </c>
      <c r="D790" s="3">
        <v>43129</v>
      </c>
      <c r="E790" s="3">
        <v>43174</v>
      </c>
      <c r="F790" s="3"/>
      <c r="G790">
        <v>50068</v>
      </c>
      <c r="H790">
        <v>58078.8</v>
      </c>
      <c r="I790" t="s">
        <v>11</v>
      </c>
    </row>
    <row r="791" spans="1:9" x14ac:dyDescent="0.2">
      <c r="A791" t="s">
        <v>40</v>
      </c>
      <c r="B791" t="s">
        <v>10</v>
      </c>
      <c r="C791" s="3">
        <v>43125</v>
      </c>
      <c r="D791" s="3">
        <v>43125</v>
      </c>
      <c r="E791" s="3">
        <v>43140</v>
      </c>
      <c r="F791" s="3"/>
      <c r="G791">
        <v>38572</v>
      </c>
      <c r="H791">
        <v>44743.5</v>
      </c>
      <c r="I791" t="s">
        <v>11</v>
      </c>
    </row>
    <row r="792" spans="1:9" x14ac:dyDescent="0.2">
      <c r="A792" t="s">
        <v>40</v>
      </c>
      <c r="B792" t="s">
        <v>10</v>
      </c>
      <c r="C792" s="3">
        <v>43125</v>
      </c>
      <c r="D792" s="3">
        <v>43125</v>
      </c>
      <c r="E792" s="3">
        <v>43140</v>
      </c>
      <c r="F792" s="3"/>
      <c r="G792">
        <v>9100</v>
      </c>
      <c r="H792">
        <v>10556</v>
      </c>
      <c r="I792" t="s">
        <v>11</v>
      </c>
    </row>
    <row r="793" spans="1:9" x14ac:dyDescent="0.2">
      <c r="A793" t="s">
        <v>18</v>
      </c>
      <c r="B793" t="s">
        <v>10</v>
      </c>
      <c r="C793" s="3">
        <v>43124</v>
      </c>
      <c r="D793" s="3">
        <v>43123</v>
      </c>
      <c r="E793" s="3">
        <v>43154</v>
      </c>
      <c r="F793" s="3"/>
      <c r="G793">
        <v>16304</v>
      </c>
      <c r="H793">
        <v>18912.599999999999</v>
      </c>
      <c r="I793" t="s">
        <v>11</v>
      </c>
    </row>
    <row r="794" spans="1:9" x14ac:dyDescent="0.2">
      <c r="A794" t="s">
        <v>55</v>
      </c>
      <c r="B794" t="s">
        <v>10</v>
      </c>
      <c r="C794" s="3">
        <v>43123</v>
      </c>
      <c r="D794" s="3">
        <v>43122</v>
      </c>
      <c r="E794" s="3">
        <v>43131</v>
      </c>
      <c r="F794" s="3"/>
      <c r="G794">
        <v>2900</v>
      </c>
      <c r="H794">
        <v>3364</v>
      </c>
      <c r="I794" t="s">
        <v>11</v>
      </c>
    </row>
    <row r="795" spans="1:9" x14ac:dyDescent="0.2">
      <c r="A795" t="s">
        <v>13</v>
      </c>
      <c r="B795" t="s">
        <v>10</v>
      </c>
      <c r="C795" s="3">
        <v>43123</v>
      </c>
      <c r="D795" s="3">
        <v>43123</v>
      </c>
      <c r="E795" s="3">
        <v>43153</v>
      </c>
      <c r="F795" s="3"/>
      <c r="G795">
        <v>650</v>
      </c>
      <c r="H795">
        <v>754</v>
      </c>
      <c r="I795" t="s">
        <v>11</v>
      </c>
    </row>
    <row r="796" spans="1:9" x14ac:dyDescent="0.2">
      <c r="A796" t="s">
        <v>18</v>
      </c>
      <c r="B796" t="s">
        <v>10</v>
      </c>
      <c r="C796" s="3">
        <v>43122</v>
      </c>
      <c r="D796" s="3">
        <v>43122</v>
      </c>
      <c r="E796" s="3">
        <v>43152</v>
      </c>
      <c r="F796" s="3"/>
      <c r="G796">
        <v>18238</v>
      </c>
      <c r="H796">
        <v>21156</v>
      </c>
      <c r="I796" t="s">
        <v>11</v>
      </c>
    </row>
    <row r="797" spans="1:9" x14ac:dyDescent="0.2">
      <c r="A797" t="s">
        <v>13</v>
      </c>
      <c r="B797" t="s">
        <v>10</v>
      </c>
      <c r="C797" s="3">
        <v>43122</v>
      </c>
      <c r="D797" s="3">
        <v>43122</v>
      </c>
      <c r="E797" s="3">
        <v>43152</v>
      </c>
      <c r="F797" s="3"/>
      <c r="G797">
        <v>9056</v>
      </c>
      <c r="H797">
        <v>10504.9</v>
      </c>
      <c r="I797" t="s">
        <v>11</v>
      </c>
    </row>
    <row r="798" spans="1:9" x14ac:dyDescent="0.2">
      <c r="A798" t="s">
        <v>13</v>
      </c>
      <c r="B798" t="s">
        <v>10</v>
      </c>
      <c r="C798" s="3">
        <v>43119</v>
      </c>
      <c r="D798" s="3">
        <v>43119</v>
      </c>
      <c r="E798" s="3">
        <v>43149</v>
      </c>
      <c r="F798" s="3"/>
      <c r="G798">
        <v>2247</v>
      </c>
      <c r="H798">
        <v>2606.52</v>
      </c>
      <c r="I798" t="s">
        <v>11</v>
      </c>
    </row>
    <row r="799" spans="1:9" x14ac:dyDescent="0.2">
      <c r="A799" t="s">
        <v>40</v>
      </c>
      <c r="B799" t="s">
        <v>10</v>
      </c>
      <c r="C799" s="3">
        <v>43118</v>
      </c>
      <c r="D799" s="3">
        <v>43118</v>
      </c>
      <c r="E799" s="3">
        <v>43133</v>
      </c>
      <c r="F799" s="3"/>
      <c r="G799">
        <v>504</v>
      </c>
      <c r="H799">
        <v>584.64</v>
      </c>
      <c r="I799" t="s">
        <v>11</v>
      </c>
    </row>
    <row r="800" spans="1:9" x14ac:dyDescent="0.2">
      <c r="A800" t="s">
        <v>13</v>
      </c>
      <c r="B800" t="s">
        <v>10</v>
      </c>
      <c r="C800" s="3">
        <v>43117</v>
      </c>
      <c r="D800" s="3">
        <v>43117</v>
      </c>
      <c r="E800" s="3">
        <v>43147</v>
      </c>
      <c r="F800" s="3"/>
      <c r="G800">
        <v>2247</v>
      </c>
      <c r="H800">
        <v>2606.52</v>
      </c>
      <c r="I800" t="s">
        <v>11</v>
      </c>
    </row>
    <row r="801" spans="1:9" x14ac:dyDescent="0.2">
      <c r="A801" t="s">
        <v>26</v>
      </c>
      <c r="B801" t="s">
        <v>10</v>
      </c>
      <c r="C801" s="3">
        <v>43116</v>
      </c>
      <c r="D801" s="3">
        <v>43116</v>
      </c>
      <c r="E801" s="3">
        <v>43123</v>
      </c>
      <c r="F801" s="3"/>
      <c r="G801">
        <v>2208.64</v>
      </c>
      <c r="H801">
        <v>2562.02</v>
      </c>
      <c r="I801" t="s">
        <v>11</v>
      </c>
    </row>
    <row r="802" spans="1:9" x14ac:dyDescent="0.2">
      <c r="A802" t="s">
        <v>18</v>
      </c>
      <c r="B802" t="s">
        <v>10</v>
      </c>
      <c r="C802" s="3">
        <v>43116</v>
      </c>
      <c r="D802" s="3">
        <v>43116</v>
      </c>
      <c r="E802" s="3">
        <v>43146</v>
      </c>
      <c r="F802" s="3"/>
      <c r="G802">
        <v>34848</v>
      </c>
      <c r="H802">
        <v>40423.599999999999</v>
      </c>
      <c r="I802" t="s">
        <v>11</v>
      </c>
    </row>
    <row r="803" spans="1:9" x14ac:dyDescent="0.2">
      <c r="A803" t="s">
        <v>13</v>
      </c>
      <c r="B803" t="s">
        <v>10</v>
      </c>
      <c r="C803" s="3">
        <v>43116</v>
      </c>
      <c r="D803" s="3">
        <v>43116</v>
      </c>
      <c r="E803" s="3">
        <v>43146</v>
      </c>
      <c r="F803" s="3"/>
      <c r="G803">
        <v>21040</v>
      </c>
      <c r="H803">
        <v>24406.400000000001</v>
      </c>
      <c r="I803" t="s">
        <v>11</v>
      </c>
    </row>
    <row r="804" spans="1:9" x14ac:dyDescent="0.2">
      <c r="A804" t="s">
        <v>18</v>
      </c>
      <c r="B804" t="s">
        <v>10</v>
      </c>
      <c r="C804" s="3">
        <v>43115</v>
      </c>
      <c r="D804" s="3">
        <v>43115</v>
      </c>
      <c r="E804" s="3">
        <v>43145</v>
      </c>
      <c r="F804" s="3"/>
      <c r="G804">
        <v>29480</v>
      </c>
      <c r="H804">
        <v>34196.800000000003</v>
      </c>
      <c r="I804" t="s">
        <v>11</v>
      </c>
    </row>
    <row r="805" spans="1:9" x14ac:dyDescent="0.2">
      <c r="A805" t="s">
        <v>19</v>
      </c>
      <c r="B805" t="s">
        <v>10</v>
      </c>
      <c r="C805" s="3">
        <v>43115</v>
      </c>
      <c r="D805" s="3">
        <v>43115</v>
      </c>
      <c r="E805" s="3">
        <v>43130</v>
      </c>
      <c r="F805" s="3"/>
      <c r="G805">
        <v>17520</v>
      </c>
      <c r="H805">
        <v>20323.2</v>
      </c>
      <c r="I805" t="s">
        <v>11</v>
      </c>
    </row>
    <row r="806" spans="1:9" x14ac:dyDescent="0.2">
      <c r="A806" t="s">
        <v>18</v>
      </c>
      <c r="B806" t="s">
        <v>10</v>
      </c>
      <c r="C806" s="3">
        <v>43112</v>
      </c>
      <c r="D806" s="3">
        <v>43112</v>
      </c>
      <c r="E806" s="3">
        <v>43142</v>
      </c>
      <c r="F806" s="3"/>
      <c r="G806">
        <v>28400</v>
      </c>
      <c r="H806">
        <v>32944</v>
      </c>
      <c r="I806" t="s">
        <v>11</v>
      </c>
    </row>
    <row r="807" spans="1:9" x14ac:dyDescent="0.2">
      <c r="A807" t="s">
        <v>18</v>
      </c>
      <c r="B807" t="s">
        <v>10</v>
      </c>
      <c r="C807" s="3">
        <v>43112</v>
      </c>
      <c r="D807" s="3">
        <v>43112</v>
      </c>
      <c r="E807" s="3">
        <v>43142</v>
      </c>
      <c r="F807" s="3"/>
      <c r="G807">
        <v>4632</v>
      </c>
      <c r="H807">
        <v>5373.12</v>
      </c>
      <c r="I807" t="s">
        <v>11</v>
      </c>
    </row>
    <row r="808" spans="1:9" x14ac:dyDescent="0.2">
      <c r="A808" t="s">
        <v>18</v>
      </c>
      <c r="B808" t="s">
        <v>10</v>
      </c>
      <c r="C808" s="3">
        <v>43109</v>
      </c>
      <c r="D808" s="3">
        <v>43109</v>
      </c>
      <c r="E808" s="3">
        <v>43139</v>
      </c>
      <c r="F808" s="3"/>
      <c r="G808">
        <v>2660</v>
      </c>
      <c r="H808">
        <v>3085.6</v>
      </c>
      <c r="I808" t="s">
        <v>11</v>
      </c>
    </row>
    <row r="809" spans="1:9" x14ac:dyDescent="0.2">
      <c r="A809" t="s">
        <v>41</v>
      </c>
      <c r="B809" t="s">
        <v>10</v>
      </c>
      <c r="C809" s="3">
        <v>43109</v>
      </c>
      <c r="D809" s="3">
        <v>43109</v>
      </c>
      <c r="E809" s="3">
        <v>43117</v>
      </c>
      <c r="F809" s="3"/>
      <c r="G809">
        <v>20683.599999999999</v>
      </c>
      <c r="H809">
        <v>23993</v>
      </c>
      <c r="I809" t="s">
        <v>11</v>
      </c>
    </row>
    <row r="810" spans="1:9" x14ac:dyDescent="0.2">
      <c r="A810" t="s">
        <v>41</v>
      </c>
      <c r="B810" t="s">
        <v>10</v>
      </c>
      <c r="C810" s="3">
        <v>43109</v>
      </c>
      <c r="D810" s="3">
        <v>43109</v>
      </c>
      <c r="E810" s="3">
        <v>43117</v>
      </c>
      <c r="F810" s="3"/>
      <c r="G810">
        <v>20683.599999999999</v>
      </c>
      <c r="H810">
        <v>23993</v>
      </c>
      <c r="I810" t="s">
        <v>11</v>
      </c>
    </row>
    <row r="811" spans="1:9" x14ac:dyDescent="0.2">
      <c r="A811" t="s">
        <v>41</v>
      </c>
      <c r="B811" t="s">
        <v>10</v>
      </c>
      <c r="C811" s="3">
        <v>43108</v>
      </c>
      <c r="D811" s="3">
        <v>43108</v>
      </c>
      <c r="E811" s="3">
        <v>43116</v>
      </c>
      <c r="F811" s="3"/>
      <c r="G811">
        <v>2581.4299999999998</v>
      </c>
      <c r="H811">
        <v>2994.46</v>
      </c>
      <c r="I811" t="s">
        <v>11</v>
      </c>
    </row>
    <row r="812" spans="1:9" x14ac:dyDescent="0.2">
      <c r="A812" t="s">
        <v>41</v>
      </c>
      <c r="B812" t="s">
        <v>10</v>
      </c>
      <c r="C812" s="3">
        <v>43108</v>
      </c>
      <c r="D812" s="3">
        <v>43108</v>
      </c>
      <c r="E812" s="3">
        <v>43116</v>
      </c>
      <c r="F812" s="3"/>
      <c r="G812">
        <v>53345.5</v>
      </c>
      <c r="H812">
        <v>61880.800000000003</v>
      </c>
      <c r="I812" t="s">
        <v>11</v>
      </c>
    </row>
    <row r="813" spans="1:9" x14ac:dyDescent="0.2">
      <c r="A813" t="s">
        <v>41</v>
      </c>
      <c r="B813" t="s">
        <v>10</v>
      </c>
      <c r="C813" s="3">
        <v>43108</v>
      </c>
      <c r="D813" s="3">
        <v>43108</v>
      </c>
      <c r="E813" s="3">
        <v>43116</v>
      </c>
      <c r="F813" s="3"/>
      <c r="G813">
        <v>25814.3</v>
      </c>
      <c r="H813">
        <v>29944.6</v>
      </c>
      <c r="I813" t="s">
        <v>11</v>
      </c>
    </row>
    <row r="814" spans="1:9" x14ac:dyDescent="0.2">
      <c r="A814" t="s">
        <v>40</v>
      </c>
      <c r="B814" t="s">
        <v>10</v>
      </c>
      <c r="C814" s="3">
        <v>43104</v>
      </c>
      <c r="D814" s="3">
        <v>43104</v>
      </c>
      <c r="E814" s="3">
        <v>43119</v>
      </c>
      <c r="F814" s="3"/>
      <c r="G814">
        <v>833</v>
      </c>
      <c r="H814">
        <v>966.28</v>
      </c>
      <c r="I814" t="s">
        <v>11</v>
      </c>
    </row>
    <row r="815" spans="1:9" x14ac:dyDescent="0.2">
      <c r="A815" t="s">
        <v>25</v>
      </c>
      <c r="B815" t="s">
        <v>10</v>
      </c>
      <c r="C815" s="3">
        <v>43104</v>
      </c>
      <c r="D815" s="3">
        <v>43104</v>
      </c>
      <c r="E815" s="3">
        <v>43134</v>
      </c>
      <c r="F815" s="3"/>
      <c r="G815">
        <v>5620</v>
      </c>
      <c r="H815">
        <v>6519.2</v>
      </c>
      <c r="I815" t="s">
        <v>11</v>
      </c>
    </row>
    <row r="816" spans="1:9" x14ac:dyDescent="0.2">
      <c r="A816" t="s">
        <v>41</v>
      </c>
      <c r="B816" t="s">
        <v>10</v>
      </c>
      <c r="C816" s="3">
        <v>43104</v>
      </c>
      <c r="D816" s="3">
        <v>43104</v>
      </c>
      <c r="E816" s="3">
        <v>43112</v>
      </c>
      <c r="F816" s="3"/>
      <c r="G816">
        <v>3343.47</v>
      </c>
      <c r="H816">
        <v>3878.43</v>
      </c>
      <c r="I816" t="s">
        <v>11</v>
      </c>
    </row>
    <row r="817" spans="1:9" x14ac:dyDescent="0.2">
      <c r="A817" t="s">
        <v>41</v>
      </c>
      <c r="B817" t="s">
        <v>10</v>
      </c>
      <c r="C817" s="3">
        <v>43104</v>
      </c>
      <c r="D817" s="3">
        <v>43104</v>
      </c>
      <c r="E817" s="3">
        <v>43112</v>
      </c>
      <c r="F817" s="3"/>
      <c r="G817">
        <v>2340</v>
      </c>
      <c r="H817">
        <v>2714.4</v>
      </c>
      <c r="I817" t="s">
        <v>11</v>
      </c>
    </row>
    <row r="818" spans="1:9" x14ac:dyDescent="0.2">
      <c r="A818" t="s">
        <v>41</v>
      </c>
      <c r="B818" t="s">
        <v>10</v>
      </c>
      <c r="C818" s="3">
        <v>43104</v>
      </c>
      <c r="D818" s="3">
        <v>43104</v>
      </c>
      <c r="E818" s="3">
        <v>43112</v>
      </c>
      <c r="F818" s="3"/>
      <c r="G818">
        <v>1170</v>
      </c>
      <c r="H818">
        <v>1357.2</v>
      </c>
      <c r="I818" t="s">
        <v>11</v>
      </c>
    </row>
    <row r="819" spans="1:9" x14ac:dyDescent="0.2">
      <c r="A819" t="s">
        <v>41</v>
      </c>
      <c r="B819" t="s">
        <v>10</v>
      </c>
      <c r="C819" s="3">
        <v>43104</v>
      </c>
      <c r="D819" s="3">
        <v>43104</v>
      </c>
      <c r="E819" s="3">
        <v>43112</v>
      </c>
      <c r="F819" s="3"/>
      <c r="G819">
        <v>15656.5</v>
      </c>
      <c r="H819">
        <v>18161.599999999999</v>
      </c>
      <c r="I819" t="s">
        <v>11</v>
      </c>
    </row>
    <row r="820" spans="1:9" x14ac:dyDescent="0.2">
      <c r="A820" t="s">
        <v>41</v>
      </c>
      <c r="B820" t="s">
        <v>10</v>
      </c>
      <c r="C820" s="3">
        <v>43104</v>
      </c>
      <c r="D820" s="3">
        <v>43104</v>
      </c>
      <c r="E820" s="3">
        <v>43112</v>
      </c>
      <c r="F820" s="3"/>
      <c r="G820">
        <v>18787.8</v>
      </c>
      <c r="H820">
        <v>21793.9</v>
      </c>
      <c r="I820" t="s">
        <v>11</v>
      </c>
    </row>
    <row r="821" spans="1:9" x14ac:dyDescent="0.2">
      <c r="A821" t="s">
        <v>41</v>
      </c>
      <c r="B821" t="s">
        <v>10</v>
      </c>
      <c r="C821" s="3">
        <v>43102</v>
      </c>
      <c r="D821" s="3">
        <v>43102</v>
      </c>
      <c r="E821" s="3">
        <v>43110</v>
      </c>
      <c r="F821" s="3"/>
      <c r="G821">
        <v>2648.52</v>
      </c>
      <c r="H821">
        <v>3072.28</v>
      </c>
      <c r="I821" t="s">
        <v>11</v>
      </c>
    </row>
    <row r="822" spans="1:9" x14ac:dyDescent="0.2">
      <c r="A822" t="s">
        <v>41</v>
      </c>
      <c r="B822" t="s">
        <v>10</v>
      </c>
      <c r="C822" s="3">
        <v>43102</v>
      </c>
      <c r="D822" s="3">
        <v>43102</v>
      </c>
      <c r="E822" s="3">
        <v>43110</v>
      </c>
      <c r="F822" s="3"/>
      <c r="G822">
        <v>2208.31</v>
      </c>
      <c r="H822">
        <v>2561.64</v>
      </c>
      <c r="I822" t="s">
        <v>11</v>
      </c>
    </row>
    <row r="823" spans="1:9" x14ac:dyDescent="0.2">
      <c r="A823" t="s">
        <v>41</v>
      </c>
      <c r="B823" t="s">
        <v>10</v>
      </c>
      <c r="C823" s="3">
        <v>43102</v>
      </c>
      <c r="D823" s="3">
        <v>43102</v>
      </c>
      <c r="E823" s="3">
        <v>43110</v>
      </c>
      <c r="F823" s="3"/>
      <c r="G823">
        <v>27695</v>
      </c>
      <c r="H823">
        <v>32126.2</v>
      </c>
      <c r="I823" t="s">
        <v>11</v>
      </c>
    </row>
    <row r="824" spans="1:9" x14ac:dyDescent="0.2">
      <c r="A824" t="s">
        <v>41</v>
      </c>
      <c r="B824" t="s">
        <v>10</v>
      </c>
      <c r="C824" s="3">
        <v>43090</v>
      </c>
      <c r="D824" s="3">
        <v>43090</v>
      </c>
      <c r="E824" s="3">
        <v>43098</v>
      </c>
      <c r="F824" s="3"/>
      <c r="G824">
        <v>6650.87</v>
      </c>
      <c r="H824">
        <v>7715.01</v>
      </c>
      <c r="I824" t="s">
        <v>11</v>
      </c>
    </row>
    <row r="825" spans="1:9" x14ac:dyDescent="0.2">
      <c r="A825" t="s">
        <v>41</v>
      </c>
      <c r="B825" t="s">
        <v>10</v>
      </c>
      <c r="C825" s="3">
        <v>43090</v>
      </c>
      <c r="D825" s="3">
        <v>43090</v>
      </c>
      <c r="E825" s="3">
        <v>43098</v>
      </c>
      <c r="F825" s="3"/>
      <c r="G825">
        <v>49881.5</v>
      </c>
      <c r="H825">
        <v>57862.5</v>
      </c>
      <c r="I825" t="s">
        <v>11</v>
      </c>
    </row>
    <row r="826" spans="1:9" x14ac:dyDescent="0.2">
      <c r="A826" t="s">
        <v>13</v>
      </c>
      <c r="B826" t="s">
        <v>10</v>
      </c>
      <c r="C826" s="3">
        <v>43090</v>
      </c>
      <c r="D826" s="3">
        <v>43090</v>
      </c>
      <c r="E826" s="3">
        <v>43120</v>
      </c>
      <c r="F826" s="3"/>
      <c r="G826">
        <v>3590</v>
      </c>
      <c r="H826">
        <v>4164.3999999999996</v>
      </c>
      <c r="I826" t="s">
        <v>11</v>
      </c>
    </row>
    <row r="827" spans="1:9" x14ac:dyDescent="0.2">
      <c r="A827" t="s">
        <v>40</v>
      </c>
      <c r="B827" t="s">
        <v>10</v>
      </c>
      <c r="C827" s="3">
        <v>43089</v>
      </c>
      <c r="D827" s="3">
        <v>43089</v>
      </c>
      <c r="E827" s="3">
        <v>43104</v>
      </c>
      <c r="F827" s="3"/>
      <c r="G827">
        <v>38572</v>
      </c>
      <c r="H827">
        <v>44743.5</v>
      </c>
      <c r="I827" t="s">
        <v>11</v>
      </c>
    </row>
    <row r="828" spans="1:9" x14ac:dyDescent="0.2">
      <c r="A828" t="s">
        <v>25</v>
      </c>
      <c r="B828" t="s">
        <v>10</v>
      </c>
      <c r="C828" s="3">
        <v>43089</v>
      </c>
      <c r="D828" s="3">
        <v>43089</v>
      </c>
      <c r="E828" s="3">
        <v>43119</v>
      </c>
      <c r="F828" s="3"/>
      <c r="G828">
        <v>43965</v>
      </c>
      <c r="H828">
        <v>50999.4</v>
      </c>
      <c r="I828" t="s">
        <v>11</v>
      </c>
    </row>
    <row r="829" spans="1:9" x14ac:dyDescent="0.2">
      <c r="A829" t="s">
        <v>41</v>
      </c>
      <c r="B829" t="s">
        <v>10</v>
      </c>
      <c r="C829" s="3">
        <v>43088</v>
      </c>
      <c r="D829" s="3">
        <v>43088</v>
      </c>
      <c r="E829" s="3">
        <v>43096</v>
      </c>
      <c r="F829" s="3"/>
      <c r="G829">
        <v>7420.56</v>
      </c>
      <c r="H829">
        <v>8607.85</v>
      </c>
      <c r="I829" t="s">
        <v>11</v>
      </c>
    </row>
    <row r="830" spans="1:9" x14ac:dyDescent="0.2">
      <c r="A830" t="s">
        <v>40</v>
      </c>
      <c r="B830" t="s">
        <v>10</v>
      </c>
      <c r="C830" s="3">
        <v>43088</v>
      </c>
      <c r="D830" s="3">
        <v>43088</v>
      </c>
      <c r="E830" s="3">
        <v>43103</v>
      </c>
      <c r="F830" s="3"/>
      <c r="G830">
        <v>18200</v>
      </c>
      <c r="H830">
        <v>21112</v>
      </c>
      <c r="I830" t="s">
        <v>11</v>
      </c>
    </row>
    <row r="831" spans="1:9" x14ac:dyDescent="0.2">
      <c r="A831" t="s">
        <v>42</v>
      </c>
      <c r="B831" t="s">
        <v>10</v>
      </c>
      <c r="C831" s="3">
        <v>43087</v>
      </c>
      <c r="D831" s="3">
        <v>43087</v>
      </c>
      <c r="E831" s="3">
        <v>43087</v>
      </c>
      <c r="F831" s="3"/>
      <c r="G831">
        <v>3360</v>
      </c>
      <c r="H831">
        <v>3897.6</v>
      </c>
      <c r="I831" t="s">
        <v>11</v>
      </c>
    </row>
    <row r="832" spans="1:9" x14ac:dyDescent="0.2">
      <c r="A832" t="s">
        <v>40</v>
      </c>
      <c r="B832" t="s">
        <v>10</v>
      </c>
      <c r="C832" s="3">
        <v>43084</v>
      </c>
      <c r="D832" s="3">
        <v>43084</v>
      </c>
      <c r="E832" s="3">
        <v>43099</v>
      </c>
      <c r="F832" s="3"/>
      <c r="G832">
        <v>38572</v>
      </c>
      <c r="H832">
        <v>44743.5</v>
      </c>
      <c r="I832" t="s">
        <v>11</v>
      </c>
    </row>
    <row r="833" spans="1:9" x14ac:dyDescent="0.2">
      <c r="A833" t="s">
        <v>40</v>
      </c>
      <c r="B833" t="s">
        <v>10</v>
      </c>
      <c r="C833" s="3">
        <v>43084</v>
      </c>
      <c r="D833" s="3">
        <v>43084</v>
      </c>
      <c r="E833" s="3">
        <v>43099</v>
      </c>
      <c r="F833" s="3"/>
      <c r="G833">
        <v>36158</v>
      </c>
      <c r="H833">
        <v>41943.199999999997</v>
      </c>
      <c r="I833" t="s">
        <v>11</v>
      </c>
    </row>
    <row r="834" spans="1:9" x14ac:dyDescent="0.2">
      <c r="A834" t="s">
        <v>9</v>
      </c>
      <c r="B834" t="s">
        <v>10</v>
      </c>
      <c r="C834" s="3">
        <v>43084</v>
      </c>
      <c r="D834" s="3">
        <v>43084</v>
      </c>
      <c r="E834" s="3">
        <v>43091</v>
      </c>
      <c r="F834" s="3"/>
      <c r="G834">
        <v>2608</v>
      </c>
      <c r="H834">
        <v>3025.28</v>
      </c>
      <c r="I834" t="s">
        <v>11</v>
      </c>
    </row>
    <row r="835" spans="1:9" x14ac:dyDescent="0.2">
      <c r="A835" t="s">
        <v>18</v>
      </c>
      <c r="B835" t="s">
        <v>10</v>
      </c>
      <c r="C835" s="3">
        <v>43083</v>
      </c>
      <c r="D835" s="3">
        <v>43083</v>
      </c>
      <c r="E835" s="3">
        <v>43113</v>
      </c>
      <c r="F835" s="3"/>
      <c r="G835">
        <v>17640</v>
      </c>
      <c r="H835">
        <v>20462.400000000001</v>
      </c>
      <c r="I835" t="s">
        <v>11</v>
      </c>
    </row>
    <row r="836" spans="1:9" x14ac:dyDescent="0.2">
      <c r="A836" t="s">
        <v>41</v>
      </c>
      <c r="B836" t="s">
        <v>10</v>
      </c>
      <c r="C836" s="3">
        <v>43083</v>
      </c>
      <c r="D836" s="3">
        <v>43083</v>
      </c>
      <c r="E836" s="3">
        <v>43091</v>
      </c>
      <c r="F836" s="3"/>
      <c r="G836">
        <v>10221</v>
      </c>
      <c r="H836">
        <v>11856.4</v>
      </c>
      <c r="I836" t="s">
        <v>11</v>
      </c>
    </row>
    <row r="837" spans="1:9" x14ac:dyDescent="0.2">
      <c r="A837" t="s">
        <v>39</v>
      </c>
      <c r="B837" t="s">
        <v>10</v>
      </c>
      <c r="C837" s="3">
        <v>43082</v>
      </c>
      <c r="D837" s="3">
        <v>43082</v>
      </c>
      <c r="E837" s="3">
        <v>43090</v>
      </c>
      <c r="F837" s="3"/>
      <c r="G837">
        <v>9901.86</v>
      </c>
      <c r="H837">
        <v>11486.1</v>
      </c>
      <c r="I837" t="s">
        <v>11</v>
      </c>
    </row>
    <row r="838" spans="1:9" x14ac:dyDescent="0.2">
      <c r="A838" t="s">
        <v>18</v>
      </c>
      <c r="B838" t="s">
        <v>10</v>
      </c>
      <c r="C838" s="3">
        <v>43081</v>
      </c>
      <c r="D838" s="3">
        <v>43081</v>
      </c>
      <c r="E838" s="3">
        <v>43111</v>
      </c>
      <c r="F838" s="3"/>
      <c r="G838">
        <v>2660</v>
      </c>
      <c r="H838">
        <v>3085.6</v>
      </c>
      <c r="I838" t="s">
        <v>11</v>
      </c>
    </row>
    <row r="839" spans="1:9" x14ac:dyDescent="0.2">
      <c r="A839" t="s">
        <v>18</v>
      </c>
      <c r="B839" t="s">
        <v>10</v>
      </c>
      <c r="C839" s="3">
        <v>43080</v>
      </c>
      <c r="D839" s="3">
        <v>43080</v>
      </c>
      <c r="E839" s="3">
        <v>43110</v>
      </c>
      <c r="F839" s="3"/>
      <c r="G839">
        <v>147</v>
      </c>
      <c r="H839">
        <v>170.52</v>
      </c>
      <c r="I839" t="s">
        <v>11</v>
      </c>
    </row>
    <row r="840" spans="1:9" x14ac:dyDescent="0.2">
      <c r="A840" t="s">
        <v>41</v>
      </c>
      <c r="B840" t="s">
        <v>10</v>
      </c>
      <c r="C840" s="3">
        <v>43080</v>
      </c>
      <c r="D840" s="3">
        <v>43080</v>
      </c>
      <c r="E840" s="3">
        <v>43088</v>
      </c>
      <c r="F840" s="3"/>
      <c r="G840">
        <v>30877.1</v>
      </c>
      <c r="H840">
        <v>35817.4</v>
      </c>
      <c r="I840" t="s">
        <v>56</v>
      </c>
    </row>
    <row r="841" spans="1:9" x14ac:dyDescent="0.2">
      <c r="A841" t="s">
        <v>20</v>
      </c>
      <c r="B841" t="s">
        <v>10</v>
      </c>
      <c r="C841" s="3">
        <v>43076</v>
      </c>
      <c r="D841" s="3">
        <v>43076</v>
      </c>
      <c r="E841" s="3">
        <v>43121</v>
      </c>
      <c r="F841" s="3"/>
      <c r="G841">
        <v>38698</v>
      </c>
      <c r="H841">
        <v>44889.599999999999</v>
      </c>
      <c r="I841" t="s">
        <v>56</v>
      </c>
    </row>
    <row r="842" spans="1:9" x14ac:dyDescent="0.2">
      <c r="A842" t="s">
        <v>18</v>
      </c>
      <c r="B842" t="s">
        <v>10</v>
      </c>
      <c r="C842" s="3">
        <v>43070</v>
      </c>
      <c r="D842" s="3">
        <v>43070</v>
      </c>
      <c r="E842" s="3">
        <v>43100</v>
      </c>
      <c r="F842" s="3"/>
      <c r="G842">
        <v>16892</v>
      </c>
      <c r="H842">
        <v>19594.7</v>
      </c>
      <c r="I842" t="s">
        <v>56</v>
      </c>
    </row>
    <row r="843" spans="1:9" x14ac:dyDescent="0.2">
      <c r="A843" t="s">
        <v>41</v>
      </c>
      <c r="B843" t="s">
        <v>10</v>
      </c>
      <c r="C843" s="3">
        <v>43069</v>
      </c>
      <c r="D843" s="3">
        <v>43069</v>
      </c>
      <c r="E843" s="3">
        <v>43077</v>
      </c>
      <c r="F843" s="3"/>
      <c r="G843">
        <v>2251.34</v>
      </c>
      <c r="H843">
        <v>2611.6</v>
      </c>
      <c r="I843" t="s">
        <v>56</v>
      </c>
    </row>
    <row r="844" spans="1:9" x14ac:dyDescent="0.2">
      <c r="A844" t="s">
        <v>41</v>
      </c>
      <c r="B844" t="s">
        <v>10</v>
      </c>
      <c r="C844" s="3">
        <v>43069</v>
      </c>
      <c r="D844" s="3">
        <v>43069</v>
      </c>
      <c r="E844" s="3">
        <v>43077</v>
      </c>
      <c r="F844" s="3"/>
      <c r="G844">
        <v>43645.9</v>
      </c>
      <c r="H844">
        <v>50629.2</v>
      </c>
      <c r="I844" t="s">
        <v>56</v>
      </c>
    </row>
    <row r="845" spans="1:9" x14ac:dyDescent="0.2">
      <c r="A845" t="s">
        <v>18</v>
      </c>
      <c r="B845" t="s">
        <v>10</v>
      </c>
      <c r="C845" s="3">
        <v>43069</v>
      </c>
      <c r="D845" s="3">
        <v>43069</v>
      </c>
      <c r="E845" s="3">
        <v>43099</v>
      </c>
      <c r="F845" s="3"/>
      <c r="G845">
        <v>1824</v>
      </c>
      <c r="H845">
        <v>2115.84</v>
      </c>
      <c r="I845" t="s">
        <v>56</v>
      </c>
    </row>
    <row r="846" spans="1:9" x14ac:dyDescent="0.2">
      <c r="A846" t="s">
        <v>18</v>
      </c>
      <c r="B846" t="s">
        <v>10</v>
      </c>
      <c r="C846" s="3">
        <v>43069</v>
      </c>
      <c r="D846" s="3">
        <v>43069</v>
      </c>
      <c r="E846" s="3">
        <v>43099</v>
      </c>
      <c r="F846" s="3"/>
      <c r="G846">
        <v>16336</v>
      </c>
      <c r="H846">
        <v>18949.7</v>
      </c>
      <c r="I846" t="s">
        <v>56</v>
      </c>
    </row>
    <row r="847" spans="1:9" x14ac:dyDescent="0.2">
      <c r="A847" t="s">
        <v>41</v>
      </c>
      <c r="B847" t="s">
        <v>10</v>
      </c>
      <c r="C847" s="3">
        <v>43069</v>
      </c>
      <c r="D847" s="3">
        <v>43069</v>
      </c>
      <c r="E847" s="3">
        <v>43077</v>
      </c>
      <c r="F847" s="3"/>
      <c r="G847">
        <v>1385.7</v>
      </c>
      <c r="H847">
        <v>1607.36</v>
      </c>
      <c r="I847" t="s">
        <v>56</v>
      </c>
    </row>
    <row r="848" spans="1:9" x14ac:dyDescent="0.2">
      <c r="A848" t="s">
        <v>18</v>
      </c>
      <c r="B848" t="s">
        <v>10</v>
      </c>
      <c r="C848" s="3">
        <v>43069</v>
      </c>
      <c r="D848" s="3">
        <v>43068</v>
      </c>
      <c r="E848" s="3">
        <v>43099</v>
      </c>
      <c r="F848" s="3"/>
      <c r="G848">
        <v>5310</v>
      </c>
      <c r="H848">
        <v>6159.6</v>
      </c>
      <c r="I848" t="s">
        <v>56</v>
      </c>
    </row>
    <row r="849" spans="1:9" x14ac:dyDescent="0.2">
      <c r="A849" t="s">
        <v>18</v>
      </c>
      <c r="B849" t="s">
        <v>10</v>
      </c>
      <c r="C849" s="3">
        <v>43068</v>
      </c>
      <c r="D849" s="3">
        <v>43068</v>
      </c>
      <c r="E849" s="3">
        <v>43098</v>
      </c>
      <c r="F849" s="3"/>
      <c r="G849">
        <v>23650</v>
      </c>
      <c r="H849">
        <v>27434</v>
      </c>
      <c r="I849" t="s">
        <v>56</v>
      </c>
    </row>
    <row r="850" spans="1:9" x14ac:dyDescent="0.2">
      <c r="A850" t="s">
        <v>18</v>
      </c>
      <c r="B850" t="s">
        <v>10</v>
      </c>
      <c r="C850" s="3">
        <v>43068</v>
      </c>
      <c r="D850" s="3">
        <v>43068</v>
      </c>
      <c r="E850" s="3">
        <v>43098</v>
      </c>
      <c r="F850" s="3"/>
      <c r="G850">
        <v>6080</v>
      </c>
      <c r="H850">
        <v>7052.8</v>
      </c>
      <c r="I850" t="s">
        <v>56</v>
      </c>
    </row>
    <row r="851" spans="1:9" x14ac:dyDescent="0.2">
      <c r="A851" t="s">
        <v>25</v>
      </c>
      <c r="B851" t="s">
        <v>10</v>
      </c>
      <c r="C851" s="3">
        <v>43066</v>
      </c>
      <c r="D851" s="3">
        <v>43066</v>
      </c>
      <c r="E851" s="3">
        <v>43096</v>
      </c>
      <c r="F851" s="3"/>
      <c r="G851">
        <v>13471</v>
      </c>
      <c r="H851">
        <v>15626.3</v>
      </c>
      <c r="I851" t="s">
        <v>56</v>
      </c>
    </row>
    <row r="852" spans="1:9" x14ac:dyDescent="0.2">
      <c r="A852" t="s">
        <v>18</v>
      </c>
      <c r="B852" t="s">
        <v>10</v>
      </c>
      <c r="C852" s="3">
        <v>43066</v>
      </c>
      <c r="D852" s="3">
        <v>43066</v>
      </c>
      <c r="E852" s="3">
        <v>43096</v>
      </c>
      <c r="F852" s="3"/>
      <c r="G852">
        <v>16892</v>
      </c>
      <c r="H852">
        <v>19594.7</v>
      </c>
      <c r="I852" t="s">
        <v>56</v>
      </c>
    </row>
    <row r="853" spans="1:9" x14ac:dyDescent="0.2">
      <c r="A853" t="s">
        <v>18</v>
      </c>
      <c r="B853" t="s">
        <v>10</v>
      </c>
      <c r="C853" s="3">
        <v>43063</v>
      </c>
      <c r="D853" s="3">
        <v>43063</v>
      </c>
      <c r="E853" s="3">
        <v>43093</v>
      </c>
      <c r="F853" s="3"/>
      <c r="G853">
        <v>13434</v>
      </c>
      <c r="H853">
        <v>15583.4</v>
      </c>
      <c r="I853" t="s">
        <v>56</v>
      </c>
    </row>
    <row r="854" spans="1:9" x14ac:dyDescent="0.2">
      <c r="A854" t="s">
        <v>41</v>
      </c>
      <c r="B854" t="s">
        <v>10</v>
      </c>
      <c r="C854" s="3">
        <v>43062</v>
      </c>
      <c r="D854" s="3">
        <v>43062</v>
      </c>
      <c r="E854" s="3">
        <v>43070</v>
      </c>
      <c r="F854" s="3"/>
      <c r="G854">
        <v>15110.5</v>
      </c>
      <c r="H854">
        <v>17528.2</v>
      </c>
      <c r="I854" t="s">
        <v>56</v>
      </c>
    </row>
    <row r="855" spans="1:9" x14ac:dyDescent="0.2">
      <c r="A855" t="s">
        <v>46</v>
      </c>
      <c r="B855" t="s">
        <v>10</v>
      </c>
      <c r="C855" s="3">
        <v>43062</v>
      </c>
      <c r="D855" s="3">
        <v>43062</v>
      </c>
      <c r="E855" s="3">
        <v>43069</v>
      </c>
      <c r="F855" s="3"/>
      <c r="G855">
        <v>1129.2</v>
      </c>
      <c r="H855">
        <v>1309.8699999999999</v>
      </c>
      <c r="I855" t="s">
        <v>56</v>
      </c>
    </row>
    <row r="856" spans="1:9" x14ac:dyDescent="0.2">
      <c r="A856" t="s">
        <v>41</v>
      </c>
      <c r="B856" t="s">
        <v>10</v>
      </c>
      <c r="C856" s="3">
        <v>43061</v>
      </c>
      <c r="D856" s="3">
        <v>43061</v>
      </c>
      <c r="E856" s="3">
        <v>43069</v>
      </c>
      <c r="F856" s="3"/>
      <c r="G856">
        <v>48515</v>
      </c>
      <c r="H856">
        <v>56277.3</v>
      </c>
      <c r="I856" t="s">
        <v>56</v>
      </c>
    </row>
    <row r="857" spans="1:9" x14ac:dyDescent="0.2">
      <c r="A857" t="s">
        <v>41</v>
      </c>
      <c r="B857" t="s">
        <v>10</v>
      </c>
      <c r="C857" s="3">
        <v>43060</v>
      </c>
      <c r="D857" s="3">
        <v>43060</v>
      </c>
      <c r="E857" s="3">
        <v>43068</v>
      </c>
      <c r="F857" s="3"/>
      <c r="G857">
        <v>7129.85</v>
      </c>
      <c r="H857">
        <v>8270.5499999999993</v>
      </c>
      <c r="I857" t="s">
        <v>56</v>
      </c>
    </row>
    <row r="858" spans="1:9" x14ac:dyDescent="0.2">
      <c r="A858" t="s">
        <v>18</v>
      </c>
      <c r="B858" t="s">
        <v>10</v>
      </c>
      <c r="C858" s="3">
        <v>43060</v>
      </c>
      <c r="D858" s="3">
        <v>43060</v>
      </c>
      <c r="E858" s="3">
        <v>43090</v>
      </c>
      <c r="F858" s="3"/>
      <c r="G858">
        <v>14740</v>
      </c>
      <c r="H858">
        <v>17098.400000000001</v>
      </c>
      <c r="I858" t="s">
        <v>56</v>
      </c>
    </row>
    <row r="859" spans="1:9" x14ac:dyDescent="0.2">
      <c r="A859" t="s">
        <v>22</v>
      </c>
      <c r="B859" t="s">
        <v>10</v>
      </c>
      <c r="C859" s="3">
        <v>43060</v>
      </c>
      <c r="D859" s="3">
        <v>43060</v>
      </c>
      <c r="E859" s="3">
        <v>43090</v>
      </c>
      <c r="F859" s="3"/>
      <c r="G859">
        <v>156688</v>
      </c>
      <c r="H859">
        <v>181758</v>
      </c>
      <c r="I859" t="s">
        <v>56</v>
      </c>
    </row>
    <row r="860" spans="1:9" x14ac:dyDescent="0.2">
      <c r="A860" t="s">
        <v>22</v>
      </c>
      <c r="B860" t="s">
        <v>10</v>
      </c>
      <c r="C860" s="3">
        <v>43060</v>
      </c>
      <c r="D860" s="3">
        <v>43060</v>
      </c>
      <c r="E860" s="3">
        <v>43090</v>
      </c>
      <c r="F860" s="3"/>
      <c r="G860">
        <v>4720</v>
      </c>
      <c r="H860">
        <v>5475.2</v>
      </c>
      <c r="I860" t="s">
        <v>56</v>
      </c>
    </row>
    <row r="861" spans="1:9" x14ac:dyDescent="0.2">
      <c r="A861" t="s">
        <v>46</v>
      </c>
      <c r="B861" t="s">
        <v>10</v>
      </c>
      <c r="C861" s="3">
        <v>43060</v>
      </c>
      <c r="D861" s="3">
        <v>43060</v>
      </c>
      <c r="E861" s="3">
        <v>43067</v>
      </c>
      <c r="F861" s="3"/>
      <c r="G861">
        <v>30553.7</v>
      </c>
      <c r="H861">
        <v>35442.300000000003</v>
      </c>
      <c r="I861" t="s">
        <v>56</v>
      </c>
    </row>
    <row r="862" spans="1:9" x14ac:dyDescent="0.2">
      <c r="A862" t="s">
        <v>41</v>
      </c>
      <c r="B862" t="s">
        <v>10</v>
      </c>
      <c r="C862" s="3">
        <v>43060</v>
      </c>
      <c r="D862" s="3">
        <v>43060</v>
      </c>
      <c r="E862" s="3">
        <v>43068</v>
      </c>
      <c r="F862" s="3"/>
      <c r="G862">
        <v>1425.97</v>
      </c>
      <c r="H862">
        <v>1654.07</v>
      </c>
      <c r="I862" t="s">
        <v>56</v>
      </c>
    </row>
    <row r="863" spans="1:9" x14ac:dyDescent="0.2">
      <c r="A863" t="s">
        <v>41</v>
      </c>
      <c r="B863" t="s">
        <v>10</v>
      </c>
      <c r="C863" s="3">
        <v>43056</v>
      </c>
      <c r="D863" s="3">
        <v>43056</v>
      </c>
      <c r="E863" s="3">
        <v>43064</v>
      </c>
      <c r="F863" s="3"/>
      <c r="G863">
        <v>43320.7</v>
      </c>
      <c r="H863">
        <v>50252</v>
      </c>
      <c r="I863" t="s">
        <v>56</v>
      </c>
    </row>
    <row r="864" spans="1:9" x14ac:dyDescent="0.2">
      <c r="A864" t="s">
        <v>13</v>
      </c>
      <c r="B864" t="s">
        <v>10</v>
      </c>
      <c r="C864" s="3">
        <v>43052</v>
      </c>
      <c r="D864" s="3">
        <v>43052</v>
      </c>
      <c r="E864" s="3">
        <v>43082</v>
      </c>
      <c r="F864" s="3"/>
      <c r="G864">
        <v>14090</v>
      </c>
      <c r="H864">
        <v>16344.4</v>
      </c>
      <c r="I864" t="s">
        <v>56</v>
      </c>
    </row>
    <row r="865" spans="1:9" x14ac:dyDescent="0.2">
      <c r="A865" t="s">
        <v>13</v>
      </c>
      <c r="B865" t="s">
        <v>10</v>
      </c>
      <c r="C865" s="3">
        <v>43052</v>
      </c>
      <c r="D865" s="3">
        <v>43052</v>
      </c>
      <c r="E865" s="3">
        <v>43082</v>
      </c>
      <c r="F865" s="3"/>
      <c r="G865">
        <v>19002</v>
      </c>
      <c r="H865">
        <v>22042.3</v>
      </c>
      <c r="I865" t="s">
        <v>56</v>
      </c>
    </row>
    <row r="866" spans="1:9" x14ac:dyDescent="0.2">
      <c r="A866" t="s">
        <v>25</v>
      </c>
      <c r="B866" t="s">
        <v>10</v>
      </c>
      <c r="C866" s="3">
        <v>43048</v>
      </c>
      <c r="D866" s="3">
        <v>43048</v>
      </c>
      <c r="E866" s="3">
        <v>43078</v>
      </c>
      <c r="F866" s="3"/>
      <c r="G866">
        <v>1057</v>
      </c>
      <c r="H866">
        <v>1226.1199999999999</v>
      </c>
      <c r="I866" t="s">
        <v>56</v>
      </c>
    </row>
    <row r="867" spans="1:9" x14ac:dyDescent="0.2">
      <c r="A867" t="s">
        <v>41</v>
      </c>
      <c r="B867" t="s">
        <v>10</v>
      </c>
      <c r="C867" s="3">
        <v>43048</v>
      </c>
      <c r="D867" s="3">
        <v>43048</v>
      </c>
      <c r="E867" s="3">
        <v>43056</v>
      </c>
      <c r="F867" s="3"/>
      <c r="G867">
        <v>8498.89</v>
      </c>
      <c r="H867">
        <v>9858.65</v>
      </c>
      <c r="I867" t="s">
        <v>56</v>
      </c>
    </row>
    <row r="868" spans="1:9" x14ac:dyDescent="0.2">
      <c r="A868" t="s">
        <v>41</v>
      </c>
      <c r="B868" t="s">
        <v>10</v>
      </c>
      <c r="C868" s="3">
        <v>43046</v>
      </c>
      <c r="D868" s="3">
        <v>43046</v>
      </c>
      <c r="E868" s="3">
        <v>43054</v>
      </c>
      <c r="F868" s="3"/>
      <c r="G868">
        <v>10395.9</v>
      </c>
      <c r="H868">
        <v>12059.3</v>
      </c>
      <c r="I868" t="s">
        <v>56</v>
      </c>
    </row>
    <row r="869" spans="1:9" x14ac:dyDescent="0.2">
      <c r="A869" t="s">
        <v>41</v>
      </c>
      <c r="B869" t="s">
        <v>10</v>
      </c>
      <c r="C869" s="3">
        <v>43045</v>
      </c>
      <c r="D869" s="3">
        <v>43045</v>
      </c>
      <c r="E869" s="3">
        <v>43053</v>
      </c>
      <c r="F869" s="3"/>
      <c r="G869">
        <v>7129.85</v>
      </c>
      <c r="H869">
        <v>8270.5499999999993</v>
      </c>
      <c r="I869" t="s">
        <v>56</v>
      </c>
    </row>
    <row r="870" spans="1:9" x14ac:dyDescent="0.2">
      <c r="A870" t="s">
        <v>46</v>
      </c>
      <c r="B870" t="s">
        <v>10</v>
      </c>
      <c r="C870" s="3">
        <v>43039</v>
      </c>
      <c r="D870" s="3">
        <v>43039</v>
      </c>
      <c r="E870" s="3">
        <v>43046</v>
      </c>
      <c r="F870" s="3"/>
      <c r="G870">
        <v>30448.5</v>
      </c>
      <c r="H870">
        <v>35320.199999999997</v>
      </c>
      <c r="I870" t="s">
        <v>56</v>
      </c>
    </row>
    <row r="871" spans="1:9" x14ac:dyDescent="0.2">
      <c r="A871" t="s">
        <v>41</v>
      </c>
      <c r="B871" t="s">
        <v>10</v>
      </c>
      <c r="C871" s="3">
        <v>43034</v>
      </c>
      <c r="D871" s="3">
        <v>43034</v>
      </c>
      <c r="E871" s="3">
        <v>43042</v>
      </c>
      <c r="F871" s="3"/>
      <c r="G871">
        <v>4451.8999999999996</v>
      </c>
      <c r="H871">
        <v>5164.22</v>
      </c>
      <c r="I871" t="s">
        <v>56</v>
      </c>
    </row>
    <row r="872" spans="1:9" x14ac:dyDescent="0.2">
      <c r="A872" t="s">
        <v>46</v>
      </c>
      <c r="B872" t="s">
        <v>10</v>
      </c>
      <c r="C872" s="3">
        <v>43034</v>
      </c>
      <c r="D872" s="3">
        <v>43034</v>
      </c>
      <c r="E872" s="3">
        <v>43041</v>
      </c>
      <c r="F872" s="3"/>
      <c r="G872">
        <v>14325.6</v>
      </c>
      <c r="H872">
        <v>16617.7</v>
      </c>
      <c r="I872" t="s">
        <v>56</v>
      </c>
    </row>
    <row r="873" spans="1:9" x14ac:dyDescent="0.2">
      <c r="A873" t="s">
        <v>25</v>
      </c>
      <c r="B873" t="s">
        <v>10</v>
      </c>
      <c r="C873" s="3">
        <v>43033</v>
      </c>
      <c r="D873" s="3">
        <v>43033</v>
      </c>
      <c r="E873" s="3">
        <v>43063</v>
      </c>
      <c r="F873" s="3"/>
      <c r="G873">
        <v>10600</v>
      </c>
      <c r="H873">
        <v>12296</v>
      </c>
      <c r="I873" t="s">
        <v>56</v>
      </c>
    </row>
    <row r="874" spans="1:9" x14ac:dyDescent="0.2">
      <c r="A874" t="s">
        <v>20</v>
      </c>
      <c r="B874" t="s">
        <v>10</v>
      </c>
      <c r="C874" s="3">
        <v>43032</v>
      </c>
      <c r="D874" s="3">
        <v>43032</v>
      </c>
      <c r="E874" s="3">
        <v>43077</v>
      </c>
      <c r="F874" s="3"/>
      <c r="G874">
        <v>12216.6</v>
      </c>
      <c r="H874">
        <v>14171.3</v>
      </c>
      <c r="I874" t="s">
        <v>56</v>
      </c>
    </row>
    <row r="875" spans="1:9" x14ac:dyDescent="0.2">
      <c r="A875" t="s">
        <v>25</v>
      </c>
      <c r="B875" t="s">
        <v>10</v>
      </c>
      <c r="C875" s="3">
        <v>43032</v>
      </c>
      <c r="D875" s="3">
        <v>43032</v>
      </c>
      <c r="E875" s="3">
        <v>43062</v>
      </c>
      <c r="F875" s="3"/>
      <c r="G875">
        <v>10660</v>
      </c>
      <c r="H875">
        <v>12365.6</v>
      </c>
      <c r="I875" t="s">
        <v>56</v>
      </c>
    </row>
    <row r="876" spans="1:9" x14ac:dyDescent="0.2">
      <c r="A876" t="s">
        <v>41</v>
      </c>
      <c r="B876" t="s">
        <v>10</v>
      </c>
      <c r="C876" s="3">
        <v>43032</v>
      </c>
      <c r="D876" s="3">
        <v>43032</v>
      </c>
      <c r="E876" s="3">
        <v>43040</v>
      </c>
      <c r="F876" s="3"/>
      <c r="G876">
        <v>21196.7</v>
      </c>
      <c r="H876">
        <v>24588.2</v>
      </c>
      <c r="I876" t="s">
        <v>56</v>
      </c>
    </row>
    <row r="877" spans="1:9" x14ac:dyDescent="0.2">
      <c r="A877" t="s">
        <v>41</v>
      </c>
      <c r="B877" t="s">
        <v>10</v>
      </c>
      <c r="C877" s="3">
        <v>43032</v>
      </c>
      <c r="D877" s="3">
        <v>43032</v>
      </c>
      <c r="E877" s="3">
        <v>43040</v>
      </c>
      <c r="F877" s="3"/>
      <c r="G877">
        <v>2382.52</v>
      </c>
      <c r="H877">
        <v>2763.72</v>
      </c>
      <c r="I877" t="s">
        <v>56</v>
      </c>
    </row>
    <row r="878" spans="1:9" x14ac:dyDescent="0.2">
      <c r="A878" t="s">
        <v>41</v>
      </c>
      <c r="B878" t="s">
        <v>10</v>
      </c>
      <c r="C878" s="3">
        <v>43032</v>
      </c>
      <c r="D878" s="3">
        <v>43032</v>
      </c>
      <c r="E878" s="3">
        <v>43040</v>
      </c>
      <c r="F878" s="3"/>
      <c r="G878">
        <v>2446.2199999999998</v>
      </c>
      <c r="H878">
        <v>2837.68</v>
      </c>
      <c r="I878" t="s">
        <v>56</v>
      </c>
    </row>
    <row r="879" spans="1:9" x14ac:dyDescent="0.2">
      <c r="A879" t="s">
        <v>41</v>
      </c>
      <c r="B879" t="s">
        <v>10</v>
      </c>
      <c r="C879" s="3">
        <v>43032</v>
      </c>
      <c r="D879" s="3">
        <v>43032</v>
      </c>
      <c r="E879" s="3">
        <v>43040</v>
      </c>
      <c r="F879" s="3"/>
      <c r="G879">
        <v>3553.83</v>
      </c>
      <c r="H879">
        <v>4122.41</v>
      </c>
      <c r="I879" t="s">
        <v>56</v>
      </c>
    </row>
    <row r="880" spans="1:9" x14ac:dyDescent="0.2">
      <c r="A880" t="s">
        <v>41</v>
      </c>
      <c r="B880" t="s">
        <v>10</v>
      </c>
      <c r="C880" s="3">
        <v>43032</v>
      </c>
      <c r="D880" s="3">
        <v>43032</v>
      </c>
      <c r="E880" s="3">
        <v>43040</v>
      </c>
      <c r="F880" s="3"/>
      <c r="G880">
        <v>21387.200000000001</v>
      </c>
      <c r="H880">
        <v>24809.1</v>
      </c>
      <c r="I880" t="s">
        <v>56</v>
      </c>
    </row>
    <row r="881" spans="1:9" x14ac:dyDescent="0.2">
      <c r="A881" t="s">
        <v>18</v>
      </c>
      <c r="B881" t="s">
        <v>10</v>
      </c>
      <c r="C881" s="3">
        <v>43031</v>
      </c>
      <c r="D881" s="3">
        <v>43031</v>
      </c>
      <c r="E881" s="3">
        <v>43061</v>
      </c>
      <c r="F881" s="3"/>
      <c r="G881">
        <v>3794</v>
      </c>
      <c r="H881">
        <v>4401.04</v>
      </c>
      <c r="I881" t="s">
        <v>56</v>
      </c>
    </row>
    <row r="882" spans="1:9" x14ac:dyDescent="0.2">
      <c r="A882" t="s">
        <v>18</v>
      </c>
      <c r="B882" t="s">
        <v>10</v>
      </c>
      <c r="C882" s="3">
        <v>43028</v>
      </c>
      <c r="D882" s="3">
        <v>43028</v>
      </c>
      <c r="E882" s="3">
        <v>43058</v>
      </c>
      <c r="F882" s="3"/>
      <c r="G882">
        <v>40500</v>
      </c>
      <c r="H882">
        <v>46980</v>
      </c>
      <c r="I882" t="s">
        <v>56</v>
      </c>
    </row>
    <row r="883" spans="1:9" x14ac:dyDescent="0.2">
      <c r="A883" t="s">
        <v>25</v>
      </c>
      <c r="B883" t="s">
        <v>10</v>
      </c>
      <c r="C883" s="3">
        <v>43026</v>
      </c>
      <c r="D883" s="3">
        <v>43026</v>
      </c>
      <c r="E883" s="3">
        <v>43056</v>
      </c>
      <c r="F883" s="3"/>
      <c r="G883">
        <v>5808</v>
      </c>
      <c r="H883">
        <v>6737.28</v>
      </c>
      <c r="I883" t="s">
        <v>56</v>
      </c>
    </row>
    <row r="884" spans="1:9" x14ac:dyDescent="0.2">
      <c r="A884" t="s">
        <v>18</v>
      </c>
      <c r="B884" t="s">
        <v>10</v>
      </c>
      <c r="C884" s="3">
        <v>43025</v>
      </c>
      <c r="D884" s="3">
        <v>43025</v>
      </c>
      <c r="E884" s="3">
        <v>43055</v>
      </c>
      <c r="F884" s="3"/>
      <c r="G884">
        <v>14740</v>
      </c>
      <c r="H884">
        <v>17098.400000000001</v>
      </c>
      <c r="I884" t="s">
        <v>56</v>
      </c>
    </row>
    <row r="885" spans="1:9" x14ac:dyDescent="0.2">
      <c r="A885" t="s">
        <v>41</v>
      </c>
      <c r="B885" t="s">
        <v>10</v>
      </c>
      <c r="C885" s="3">
        <v>43024</v>
      </c>
      <c r="D885" s="3">
        <v>43024</v>
      </c>
      <c r="E885" s="3">
        <v>43032</v>
      </c>
      <c r="F885" s="3"/>
      <c r="G885">
        <v>6955.08</v>
      </c>
      <c r="H885">
        <v>8067.93</v>
      </c>
      <c r="I885" t="s">
        <v>56</v>
      </c>
    </row>
    <row r="886" spans="1:9" x14ac:dyDescent="0.2">
      <c r="A886" t="s">
        <v>25</v>
      </c>
      <c r="B886" t="s">
        <v>10</v>
      </c>
      <c r="C886" s="3">
        <v>43020</v>
      </c>
      <c r="D886" s="3">
        <v>43020</v>
      </c>
      <c r="E886" s="3">
        <v>43050</v>
      </c>
      <c r="F886" s="3"/>
      <c r="G886">
        <v>5080.91</v>
      </c>
      <c r="H886">
        <v>5893.86</v>
      </c>
      <c r="I886" t="s">
        <v>56</v>
      </c>
    </row>
    <row r="887" spans="1:9" x14ac:dyDescent="0.2">
      <c r="A887" t="s">
        <v>18</v>
      </c>
      <c r="B887" t="s">
        <v>10</v>
      </c>
      <c r="C887" s="3">
        <v>43019</v>
      </c>
      <c r="D887" s="3">
        <v>43019</v>
      </c>
      <c r="E887" s="3">
        <v>43049</v>
      </c>
      <c r="F887" s="3"/>
      <c r="G887">
        <v>4200</v>
      </c>
      <c r="H887">
        <v>4872</v>
      </c>
      <c r="I887" t="s">
        <v>56</v>
      </c>
    </row>
    <row r="888" spans="1:9" x14ac:dyDescent="0.2">
      <c r="A888" t="s">
        <v>57</v>
      </c>
      <c r="B888" t="s">
        <v>10</v>
      </c>
      <c r="C888" s="3">
        <v>43018</v>
      </c>
      <c r="D888" s="3">
        <v>43018</v>
      </c>
      <c r="E888" s="3">
        <v>43033</v>
      </c>
      <c r="F888" s="3"/>
      <c r="G888">
        <v>26360</v>
      </c>
      <c r="H888">
        <v>30577.599999999999</v>
      </c>
      <c r="I888" t="s">
        <v>56</v>
      </c>
    </row>
    <row r="889" spans="1:9" x14ac:dyDescent="0.2">
      <c r="A889" t="s">
        <v>18</v>
      </c>
      <c r="B889" t="s">
        <v>10</v>
      </c>
      <c r="C889" s="3">
        <v>43018</v>
      </c>
      <c r="D889" s="3">
        <v>43018</v>
      </c>
      <c r="E889" s="3">
        <v>43048</v>
      </c>
      <c r="F889" s="3"/>
      <c r="G889">
        <v>14480</v>
      </c>
      <c r="H889">
        <v>16796.8</v>
      </c>
      <c r="I889" t="s">
        <v>56</v>
      </c>
    </row>
    <row r="890" spans="1:9" x14ac:dyDescent="0.2">
      <c r="A890" t="s">
        <v>18</v>
      </c>
      <c r="B890" t="s">
        <v>10</v>
      </c>
      <c r="C890" s="3">
        <v>43017</v>
      </c>
      <c r="D890" s="3">
        <v>43017</v>
      </c>
      <c r="E890" s="3">
        <v>43047</v>
      </c>
      <c r="F890" s="3"/>
      <c r="G890">
        <v>8326</v>
      </c>
      <c r="H890">
        <v>9658.16</v>
      </c>
      <c r="I890" t="s">
        <v>56</v>
      </c>
    </row>
    <row r="891" spans="1:9" x14ac:dyDescent="0.2">
      <c r="A891" t="s">
        <v>18</v>
      </c>
      <c r="B891" t="s">
        <v>10</v>
      </c>
      <c r="C891" s="3">
        <v>43017</v>
      </c>
      <c r="D891" s="3">
        <v>43017</v>
      </c>
      <c r="E891" s="3">
        <v>43047</v>
      </c>
      <c r="F891" s="3"/>
      <c r="G891">
        <v>8266</v>
      </c>
      <c r="H891">
        <v>9588.56</v>
      </c>
      <c r="I891" t="s">
        <v>56</v>
      </c>
    </row>
    <row r="892" spans="1:9" x14ac:dyDescent="0.2">
      <c r="A892" t="s">
        <v>18</v>
      </c>
      <c r="B892" t="s">
        <v>10</v>
      </c>
      <c r="C892" s="3">
        <v>43017</v>
      </c>
      <c r="D892" s="3">
        <v>43017</v>
      </c>
      <c r="E892" s="3">
        <v>43047</v>
      </c>
      <c r="F892" s="3"/>
      <c r="G892">
        <v>8312</v>
      </c>
      <c r="H892">
        <v>9641.92</v>
      </c>
      <c r="I892" t="s">
        <v>56</v>
      </c>
    </row>
    <row r="893" spans="1:9" x14ac:dyDescent="0.2">
      <c r="A893" t="s">
        <v>41</v>
      </c>
      <c r="B893" t="s">
        <v>10</v>
      </c>
      <c r="C893" s="3">
        <v>43017</v>
      </c>
      <c r="D893" s="3">
        <v>43017</v>
      </c>
      <c r="E893" s="3">
        <v>43025</v>
      </c>
      <c r="F893" s="3"/>
      <c r="G893">
        <v>20152.7</v>
      </c>
      <c r="H893">
        <v>23377.1</v>
      </c>
      <c r="I893" t="s">
        <v>56</v>
      </c>
    </row>
    <row r="894" spans="1:9" x14ac:dyDescent="0.2">
      <c r="A894" t="s">
        <v>39</v>
      </c>
      <c r="B894" t="s">
        <v>10</v>
      </c>
      <c r="C894" s="3">
        <v>43013</v>
      </c>
      <c r="D894" s="3">
        <v>43013</v>
      </c>
      <c r="E894" s="3">
        <v>43021</v>
      </c>
      <c r="F894" s="3"/>
      <c r="G894">
        <v>2662</v>
      </c>
      <c r="H894">
        <v>3087.92</v>
      </c>
      <c r="I894" t="s">
        <v>56</v>
      </c>
    </row>
    <row r="895" spans="1:9" x14ac:dyDescent="0.2">
      <c r="A895" t="s">
        <v>18</v>
      </c>
      <c r="B895" t="s">
        <v>10</v>
      </c>
      <c r="C895" s="3">
        <v>43012</v>
      </c>
      <c r="D895" s="3">
        <v>43012</v>
      </c>
      <c r="E895" s="3">
        <v>43042</v>
      </c>
      <c r="F895" s="3"/>
      <c r="G895">
        <v>12424.2</v>
      </c>
      <c r="H895">
        <v>14412.1</v>
      </c>
      <c r="I895" t="s">
        <v>56</v>
      </c>
    </row>
    <row r="896" spans="1:9" x14ac:dyDescent="0.2">
      <c r="A896" t="s">
        <v>18</v>
      </c>
      <c r="B896" t="s">
        <v>10</v>
      </c>
      <c r="C896" s="3">
        <v>43012</v>
      </c>
      <c r="D896" s="3">
        <v>43012</v>
      </c>
      <c r="E896" s="3">
        <v>43042</v>
      </c>
      <c r="F896" s="3"/>
      <c r="G896">
        <v>4606</v>
      </c>
      <c r="H896">
        <v>5342.96</v>
      </c>
      <c r="I896" t="s">
        <v>56</v>
      </c>
    </row>
    <row r="897" spans="1:9" x14ac:dyDescent="0.2">
      <c r="A897" t="s">
        <v>18</v>
      </c>
      <c r="B897" t="s">
        <v>10</v>
      </c>
      <c r="C897" s="3">
        <v>43012</v>
      </c>
      <c r="D897" s="3">
        <v>43012</v>
      </c>
      <c r="E897" s="3">
        <v>43042</v>
      </c>
      <c r="F897" s="3"/>
      <c r="G897">
        <v>7850.22</v>
      </c>
      <c r="H897">
        <v>9106.26</v>
      </c>
      <c r="I897" t="s">
        <v>56</v>
      </c>
    </row>
    <row r="898" spans="1:9" x14ac:dyDescent="0.2">
      <c r="A898" t="s">
        <v>30</v>
      </c>
      <c r="B898" t="s">
        <v>10</v>
      </c>
      <c r="C898" s="3">
        <v>43007</v>
      </c>
      <c r="D898" s="3">
        <v>43007</v>
      </c>
      <c r="E898" s="3">
        <v>43022</v>
      </c>
      <c r="F898" s="3"/>
      <c r="G898">
        <v>350</v>
      </c>
      <c r="H898">
        <v>406</v>
      </c>
      <c r="I898" t="s">
        <v>58</v>
      </c>
    </row>
    <row r="899" spans="1:9" x14ac:dyDescent="0.2">
      <c r="A899" t="s">
        <v>26</v>
      </c>
      <c r="B899" t="s">
        <v>10</v>
      </c>
      <c r="C899" s="3">
        <v>43006</v>
      </c>
      <c r="D899" s="3">
        <v>43006</v>
      </c>
      <c r="E899" s="3">
        <v>43013</v>
      </c>
      <c r="F899" s="3"/>
      <c r="G899">
        <v>24170.6</v>
      </c>
      <c r="H899">
        <v>28037.9</v>
      </c>
      <c r="I899" t="s">
        <v>56</v>
      </c>
    </row>
    <row r="900" spans="1:9" x14ac:dyDescent="0.2">
      <c r="A900" t="s">
        <v>41</v>
      </c>
      <c r="B900" t="s">
        <v>10</v>
      </c>
      <c r="C900" s="3">
        <v>43005</v>
      </c>
      <c r="D900" s="3">
        <v>43005</v>
      </c>
      <c r="E900" s="3">
        <v>43013</v>
      </c>
      <c r="F900" s="3"/>
      <c r="G900">
        <v>7420.74</v>
      </c>
      <c r="H900">
        <v>8608.15</v>
      </c>
      <c r="I900" t="s">
        <v>56</v>
      </c>
    </row>
    <row r="901" spans="1:9" x14ac:dyDescent="0.2">
      <c r="A901" t="s">
        <v>26</v>
      </c>
      <c r="B901" t="s">
        <v>10</v>
      </c>
      <c r="C901" s="3">
        <v>43005</v>
      </c>
      <c r="D901" s="3">
        <v>43005</v>
      </c>
      <c r="E901" s="3">
        <v>43012</v>
      </c>
      <c r="F901" s="3"/>
      <c r="G901">
        <v>2608</v>
      </c>
      <c r="H901">
        <v>3025.28</v>
      </c>
      <c r="I901" t="s">
        <v>56</v>
      </c>
    </row>
    <row r="902" spans="1:9" x14ac:dyDescent="0.2">
      <c r="A902" t="s">
        <v>17</v>
      </c>
      <c r="B902" t="s">
        <v>10</v>
      </c>
      <c r="C902" s="3">
        <v>43005</v>
      </c>
      <c r="D902" s="3">
        <v>43005</v>
      </c>
      <c r="E902" s="3">
        <v>43050</v>
      </c>
      <c r="F902" s="3"/>
      <c r="G902">
        <v>34817.199999999997</v>
      </c>
      <c r="H902">
        <v>40388</v>
      </c>
      <c r="I902" t="s">
        <v>56</v>
      </c>
    </row>
    <row r="903" spans="1:9" x14ac:dyDescent="0.2">
      <c r="A903" t="s">
        <v>18</v>
      </c>
      <c r="B903" t="s">
        <v>10</v>
      </c>
      <c r="C903" s="3">
        <v>43003</v>
      </c>
      <c r="D903" s="3">
        <v>43003</v>
      </c>
      <c r="E903" s="3">
        <v>43033</v>
      </c>
      <c r="F903" s="3"/>
      <c r="G903">
        <v>12206</v>
      </c>
      <c r="H903">
        <v>14158.9</v>
      </c>
      <c r="I903" t="s">
        <v>56</v>
      </c>
    </row>
    <row r="904" spans="1:9" x14ac:dyDescent="0.2">
      <c r="A904" t="s">
        <v>25</v>
      </c>
      <c r="B904" t="s">
        <v>10</v>
      </c>
      <c r="C904" s="3">
        <v>43003</v>
      </c>
      <c r="D904" s="3">
        <v>43003</v>
      </c>
      <c r="E904" s="3">
        <v>43033</v>
      </c>
      <c r="F904" s="3"/>
      <c r="G904">
        <v>18776</v>
      </c>
      <c r="H904">
        <v>21780.1</v>
      </c>
      <c r="I904" t="s">
        <v>56</v>
      </c>
    </row>
    <row r="905" spans="1:9" x14ac:dyDescent="0.2">
      <c r="A905" t="s">
        <v>55</v>
      </c>
      <c r="B905" t="s">
        <v>10</v>
      </c>
      <c r="C905" s="3">
        <v>43003</v>
      </c>
      <c r="D905" s="3">
        <v>43003</v>
      </c>
      <c r="E905" s="3">
        <v>43011</v>
      </c>
      <c r="F905" s="3"/>
      <c r="G905">
        <v>4572</v>
      </c>
      <c r="H905">
        <v>5303.52</v>
      </c>
      <c r="I905" t="s">
        <v>56</v>
      </c>
    </row>
    <row r="906" spans="1:9" x14ac:dyDescent="0.2">
      <c r="A906" t="s">
        <v>55</v>
      </c>
      <c r="B906" t="s">
        <v>10</v>
      </c>
      <c r="C906" s="3">
        <v>42999</v>
      </c>
      <c r="D906" s="3">
        <v>42999</v>
      </c>
      <c r="E906" s="3">
        <v>43007</v>
      </c>
      <c r="F906" s="3"/>
      <c r="G906">
        <v>1143</v>
      </c>
      <c r="H906">
        <v>1325.88</v>
      </c>
    </row>
    <row r="907" spans="1:9" x14ac:dyDescent="0.2">
      <c r="A907" t="s">
        <v>55</v>
      </c>
      <c r="B907" t="s">
        <v>10</v>
      </c>
      <c r="C907" s="3">
        <v>42999</v>
      </c>
      <c r="D907" s="3">
        <v>42999</v>
      </c>
      <c r="E907" s="3">
        <v>43007</v>
      </c>
      <c r="F907" s="3"/>
      <c r="G907">
        <v>1905</v>
      </c>
      <c r="H907">
        <v>2209.8000000000002</v>
      </c>
    </row>
    <row r="908" spans="1:9" x14ac:dyDescent="0.2">
      <c r="A908" t="s">
        <v>13</v>
      </c>
      <c r="B908" t="s">
        <v>10</v>
      </c>
      <c r="C908" s="3">
        <v>42998</v>
      </c>
      <c r="D908" s="3">
        <v>42998</v>
      </c>
      <c r="E908" s="3">
        <v>43028</v>
      </c>
      <c r="F908" s="3"/>
      <c r="G908">
        <v>5114</v>
      </c>
      <c r="H908">
        <v>5932.24</v>
      </c>
      <c r="I908" t="s">
        <v>56</v>
      </c>
    </row>
    <row r="909" spans="1:9" x14ac:dyDescent="0.2">
      <c r="A909" t="s">
        <v>41</v>
      </c>
      <c r="B909" t="s">
        <v>10</v>
      </c>
      <c r="C909" s="3">
        <v>42998</v>
      </c>
      <c r="D909" s="3">
        <v>42998</v>
      </c>
      <c r="E909" s="3">
        <v>43006</v>
      </c>
      <c r="F909" s="3"/>
      <c r="G909">
        <v>17425</v>
      </c>
      <c r="H909">
        <v>20213</v>
      </c>
      <c r="I909" t="s">
        <v>56</v>
      </c>
    </row>
    <row r="910" spans="1:9" x14ac:dyDescent="0.2">
      <c r="A910" t="s">
        <v>20</v>
      </c>
      <c r="B910" t="s">
        <v>10</v>
      </c>
      <c r="C910" s="3">
        <v>42997</v>
      </c>
      <c r="D910" s="3">
        <v>42997</v>
      </c>
      <c r="E910" s="3">
        <v>43042</v>
      </c>
      <c r="F910" s="3"/>
      <c r="G910">
        <v>14814.6</v>
      </c>
      <c r="H910">
        <v>17185</v>
      </c>
      <c r="I910" t="s">
        <v>56</v>
      </c>
    </row>
    <row r="911" spans="1:9" x14ac:dyDescent="0.2">
      <c r="A911" t="s">
        <v>18</v>
      </c>
      <c r="B911" t="s">
        <v>10</v>
      </c>
      <c r="C911" s="3">
        <v>42997</v>
      </c>
      <c r="D911" s="3">
        <v>42996</v>
      </c>
      <c r="E911" s="3">
        <v>43027</v>
      </c>
      <c r="F911" s="3"/>
      <c r="G911">
        <v>9839.2199999999993</v>
      </c>
      <c r="H911">
        <v>11413.5</v>
      </c>
      <c r="I911" t="s">
        <v>56</v>
      </c>
    </row>
    <row r="912" spans="1:9" x14ac:dyDescent="0.2">
      <c r="A912" t="s">
        <v>18</v>
      </c>
      <c r="B912" t="s">
        <v>10</v>
      </c>
      <c r="C912" s="3">
        <v>42997</v>
      </c>
      <c r="D912" s="3">
        <v>42996</v>
      </c>
      <c r="E912" s="3">
        <v>43027</v>
      </c>
      <c r="F912" s="3"/>
      <c r="G912">
        <v>11040.2</v>
      </c>
      <c r="H912">
        <v>12806.6</v>
      </c>
      <c r="I912" t="s">
        <v>56</v>
      </c>
    </row>
    <row r="913" spans="1:9" x14ac:dyDescent="0.2">
      <c r="A913" t="s">
        <v>18</v>
      </c>
      <c r="B913" t="s">
        <v>10</v>
      </c>
      <c r="C913" s="3">
        <v>42997</v>
      </c>
      <c r="D913" s="3">
        <v>42996</v>
      </c>
      <c r="E913" s="3">
        <v>43027</v>
      </c>
      <c r="F913" s="3"/>
      <c r="G913">
        <v>5738</v>
      </c>
      <c r="H913">
        <v>6656.08</v>
      </c>
      <c r="I913" t="s">
        <v>56</v>
      </c>
    </row>
    <row r="914" spans="1:9" x14ac:dyDescent="0.2">
      <c r="A914" t="s">
        <v>41</v>
      </c>
      <c r="B914" t="s">
        <v>10</v>
      </c>
      <c r="C914" s="3">
        <v>42997</v>
      </c>
      <c r="D914" s="3">
        <v>42997</v>
      </c>
      <c r="E914" s="3">
        <v>43005</v>
      </c>
      <c r="F914" s="3"/>
      <c r="G914">
        <v>85822.3</v>
      </c>
      <c r="H914">
        <v>99553.8</v>
      </c>
      <c r="I914" t="s">
        <v>56</v>
      </c>
    </row>
    <row r="915" spans="1:9" x14ac:dyDescent="0.2">
      <c r="A915" t="s">
        <v>41</v>
      </c>
      <c r="B915" t="s">
        <v>10</v>
      </c>
      <c r="C915" s="3">
        <v>42997</v>
      </c>
      <c r="D915" s="3">
        <v>42997</v>
      </c>
      <c r="E915" s="3">
        <v>43005</v>
      </c>
      <c r="F915" s="3"/>
      <c r="G915">
        <v>1061.4000000000001</v>
      </c>
      <c r="H915">
        <v>1231.22</v>
      </c>
      <c r="I915" t="s">
        <v>56</v>
      </c>
    </row>
    <row r="916" spans="1:9" x14ac:dyDescent="0.2">
      <c r="A916" t="s">
        <v>20</v>
      </c>
      <c r="B916" t="s">
        <v>10</v>
      </c>
      <c r="C916" s="3">
        <v>42997</v>
      </c>
      <c r="D916" s="3">
        <v>42997</v>
      </c>
      <c r="E916" s="3">
        <v>43042</v>
      </c>
      <c r="F916" s="3"/>
      <c r="G916">
        <v>5320</v>
      </c>
      <c r="H916">
        <v>6171.2</v>
      </c>
      <c r="I916" t="s">
        <v>56</v>
      </c>
    </row>
    <row r="917" spans="1:9" x14ac:dyDescent="0.2">
      <c r="A917" t="s">
        <v>22</v>
      </c>
      <c r="B917" t="s">
        <v>10</v>
      </c>
      <c r="C917" s="3">
        <v>42996</v>
      </c>
      <c r="D917" s="3">
        <v>42996</v>
      </c>
      <c r="E917" s="3">
        <v>43056</v>
      </c>
      <c r="F917" s="3"/>
      <c r="G917">
        <v>800</v>
      </c>
      <c r="H917">
        <v>928</v>
      </c>
      <c r="I917" t="s">
        <v>56</v>
      </c>
    </row>
    <row r="918" spans="1:9" x14ac:dyDescent="0.2">
      <c r="A918" t="s">
        <v>18</v>
      </c>
      <c r="B918" t="s">
        <v>10</v>
      </c>
      <c r="C918" s="3">
        <v>42996</v>
      </c>
      <c r="D918" s="3">
        <v>42996</v>
      </c>
      <c r="E918" s="3">
        <v>43026</v>
      </c>
      <c r="F918" s="3"/>
      <c r="G918">
        <v>4628</v>
      </c>
      <c r="H918">
        <v>5368.48</v>
      </c>
      <c r="I918" t="s">
        <v>56</v>
      </c>
    </row>
    <row r="919" spans="1:9" x14ac:dyDescent="0.2">
      <c r="A919" t="s">
        <v>18</v>
      </c>
      <c r="B919" t="s">
        <v>10</v>
      </c>
      <c r="C919" s="3">
        <v>42996</v>
      </c>
      <c r="D919" s="3">
        <v>42996</v>
      </c>
      <c r="E919" s="3">
        <v>43026</v>
      </c>
      <c r="F919" s="3"/>
      <c r="G919">
        <v>16892</v>
      </c>
      <c r="H919">
        <v>19594.7</v>
      </c>
      <c r="I919" t="s">
        <v>56</v>
      </c>
    </row>
    <row r="920" spans="1:9" x14ac:dyDescent="0.2">
      <c r="A920" t="s">
        <v>41</v>
      </c>
      <c r="B920" t="s">
        <v>10</v>
      </c>
      <c r="C920" s="3">
        <v>42992</v>
      </c>
      <c r="D920" s="3">
        <v>42992</v>
      </c>
      <c r="E920" s="3">
        <v>43000</v>
      </c>
      <c r="F920" s="3"/>
      <c r="G920">
        <v>533.4</v>
      </c>
      <c r="H920">
        <v>618.74</v>
      </c>
      <c r="I920" t="s">
        <v>56</v>
      </c>
    </row>
    <row r="921" spans="1:9" x14ac:dyDescent="0.2">
      <c r="A921" t="s">
        <v>41</v>
      </c>
      <c r="B921" t="s">
        <v>10</v>
      </c>
      <c r="C921" s="3">
        <v>42992</v>
      </c>
      <c r="D921" s="3">
        <v>42992</v>
      </c>
      <c r="E921" s="3">
        <v>43000</v>
      </c>
      <c r="F921" s="3"/>
      <c r="G921">
        <v>32165.4</v>
      </c>
      <c r="H921">
        <v>37311.800000000003</v>
      </c>
      <c r="I921" t="s">
        <v>56</v>
      </c>
    </row>
    <row r="922" spans="1:9" x14ac:dyDescent="0.2">
      <c r="A922" t="s">
        <v>41</v>
      </c>
      <c r="B922" t="s">
        <v>10</v>
      </c>
      <c r="C922" s="3">
        <v>42990</v>
      </c>
      <c r="D922" s="3">
        <v>42990</v>
      </c>
      <c r="E922" s="3">
        <v>42998</v>
      </c>
      <c r="F922" s="3"/>
      <c r="G922">
        <v>29683.9</v>
      </c>
      <c r="H922">
        <v>34433.4</v>
      </c>
      <c r="I922" t="s">
        <v>56</v>
      </c>
    </row>
    <row r="923" spans="1:9" x14ac:dyDescent="0.2">
      <c r="A923" t="s">
        <v>18</v>
      </c>
      <c r="B923" t="s">
        <v>10</v>
      </c>
      <c r="C923" s="3">
        <v>42989</v>
      </c>
      <c r="D923" s="3">
        <v>42989</v>
      </c>
      <c r="E923" s="3">
        <v>43019</v>
      </c>
      <c r="F923" s="3"/>
      <c r="G923">
        <v>10570</v>
      </c>
      <c r="H923">
        <v>12261.2</v>
      </c>
      <c r="I923" t="s">
        <v>56</v>
      </c>
    </row>
    <row r="924" spans="1:9" x14ac:dyDescent="0.2">
      <c r="A924" t="s">
        <v>20</v>
      </c>
      <c r="B924" t="s">
        <v>10</v>
      </c>
      <c r="C924" s="3">
        <v>42985</v>
      </c>
      <c r="D924" s="3">
        <v>42985</v>
      </c>
      <c r="E924" s="3">
        <v>43030</v>
      </c>
      <c r="F924" s="3"/>
      <c r="G924">
        <v>12644</v>
      </c>
      <c r="H924">
        <v>14667</v>
      </c>
      <c r="I924" t="s">
        <v>56</v>
      </c>
    </row>
    <row r="925" spans="1:9" x14ac:dyDescent="0.2">
      <c r="A925" t="s">
        <v>41</v>
      </c>
      <c r="B925" t="s">
        <v>10</v>
      </c>
      <c r="C925" s="3">
        <v>42985</v>
      </c>
      <c r="D925" s="3">
        <v>42985</v>
      </c>
      <c r="E925" s="3">
        <v>42993</v>
      </c>
      <c r="F925" s="3"/>
      <c r="G925">
        <v>17644.400000000001</v>
      </c>
      <c r="H925">
        <v>20467.599999999999</v>
      </c>
      <c r="I925" t="s">
        <v>56</v>
      </c>
    </row>
    <row r="926" spans="1:9" x14ac:dyDescent="0.2">
      <c r="A926" t="s">
        <v>41</v>
      </c>
      <c r="B926" t="s">
        <v>10</v>
      </c>
      <c r="C926" s="3">
        <v>42984</v>
      </c>
      <c r="D926" s="3">
        <v>42984</v>
      </c>
      <c r="E926" s="3">
        <v>42992</v>
      </c>
      <c r="F926" s="3"/>
      <c r="G926">
        <v>26336.799999999999</v>
      </c>
      <c r="H926">
        <v>30550.7</v>
      </c>
      <c r="I926" t="s">
        <v>56</v>
      </c>
    </row>
    <row r="927" spans="1:9" x14ac:dyDescent="0.2">
      <c r="A927" t="s">
        <v>18</v>
      </c>
      <c r="B927" t="s">
        <v>10</v>
      </c>
      <c r="C927" s="3">
        <v>42984</v>
      </c>
      <c r="D927" s="3">
        <v>42982</v>
      </c>
      <c r="E927" s="3">
        <v>43014</v>
      </c>
      <c r="F927" s="3"/>
      <c r="G927">
        <v>5692</v>
      </c>
      <c r="H927">
        <v>6602.72</v>
      </c>
      <c r="I927" t="s">
        <v>56</v>
      </c>
    </row>
    <row r="928" spans="1:9" x14ac:dyDescent="0.2">
      <c r="A928" t="s">
        <v>18</v>
      </c>
      <c r="B928" t="s">
        <v>10</v>
      </c>
      <c r="C928" s="3">
        <v>42984</v>
      </c>
      <c r="D928" s="3">
        <v>42982</v>
      </c>
      <c r="E928" s="3">
        <v>43014</v>
      </c>
      <c r="F928" s="3"/>
      <c r="G928">
        <v>4726.22</v>
      </c>
      <c r="H928">
        <v>5482.42</v>
      </c>
      <c r="I928" t="s">
        <v>56</v>
      </c>
    </row>
    <row r="929" spans="1:9" x14ac:dyDescent="0.2">
      <c r="A929" t="s">
        <v>18</v>
      </c>
      <c r="B929" t="s">
        <v>10</v>
      </c>
      <c r="C929" s="3">
        <v>42984</v>
      </c>
      <c r="D929" s="3">
        <v>42982</v>
      </c>
      <c r="E929" s="3">
        <v>43014</v>
      </c>
      <c r="F929" s="3"/>
      <c r="G929">
        <v>4676</v>
      </c>
      <c r="H929">
        <v>5424.16</v>
      </c>
      <c r="I929" t="s">
        <v>56</v>
      </c>
    </row>
    <row r="930" spans="1:9" x14ac:dyDescent="0.2">
      <c r="A930" t="s">
        <v>13</v>
      </c>
      <c r="B930" t="s">
        <v>10</v>
      </c>
      <c r="C930" s="3">
        <v>42983</v>
      </c>
      <c r="D930" s="3">
        <v>42983</v>
      </c>
      <c r="E930" s="3">
        <v>43013</v>
      </c>
      <c r="F930" s="3"/>
      <c r="G930">
        <v>36959</v>
      </c>
      <c r="H930">
        <v>42872.4</v>
      </c>
      <c r="I930" t="s">
        <v>56</v>
      </c>
    </row>
    <row r="931" spans="1:9" x14ac:dyDescent="0.2">
      <c r="A931" t="s">
        <v>41</v>
      </c>
      <c r="B931" t="s">
        <v>10</v>
      </c>
      <c r="C931" s="3">
        <v>42982</v>
      </c>
      <c r="D931" s="3">
        <v>42982</v>
      </c>
      <c r="E931" s="3">
        <v>42990</v>
      </c>
      <c r="F931" s="3"/>
      <c r="G931">
        <v>15227.5</v>
      </c>
      <c r="H931">
        <v>17663.900000000001</v>
      </c>
      <c r="I931" t="s">
        <v>56</v>
      </c>
    </row>
    <row r="932" spans="1:9" x14ac:dyDescent="0.2">
      <c r="A932" t="s">
        <v>25</v>
      </c>
      <c r="B932" t="s">
        <v>10</v>
      </c>
      <c r="C932" s="3">
        <v>42979</v>
      </c>
      <c r="D932" s="3">
        <v>42979</v>
      </c>
      <c r="E932" s="3">
        <v>43009</v>
      </c>
      <c r="F932" s="3"/>
      <c r="G932">
        <v>7666</v>
      </c>
      <c r="H932">
        <v>8892.56</v>
      </c>
      <c r="I932" t="s">
        <v>56</v>
      </c>
    </row>
    <row r="933" spans="1:9" x14ac:dyDescent="0.2">
      <c r="A933" t="s">
        <v>22</v>
      </c>
      <c r="B933" t="s">
        <v>10</v>
      </c>
      <c r="C933" s="3">
        <v>42979</v>
      </c>
      <c r="D933" s="3">
        <v>42979</v>
      </c>
      <c r="E933" s="3">
        <v>43039</v>
      </c>
      <c r="F933" s="3"/>
      <c r="G933">
        <v>600</v>
      </c>
      <c r="H933">
        <v>696</v>
      </c>
      <c r="I933" t="s">
        <v>56</v>
      </c>
    </row>
    <row r="934" spans="1:9" x14ac:dyDescent="0.2">
      <c r="A934" t="s">
        <v>41</v>
      </c>
      <c r="B934" t="s">
        <v>10</v>
      </c>
      <c r="C934" s="3">
        <v>42978</v>
      </c>
      <c r="D934" s="3">
        <v>42978</v>
      </c>
      <c r="E934" s="3">
        <v>42986</v>
      </c>
      <c r="F934" s="3"/>
      <c r="G934">
        <v>2717.76</v>
      </c>
      <c r="H934">
        <v>3152.6</v>
      </c>
      <c r="I934" t="s">
        <v>56</v>
      </c>
    </row>
    <row r="935" spans="1:9" x14ac:dyDescent="0.2">
      <c r="A935" t="s">
        <v>41</v>
      </c>
      <c r="B935" t="s">
        <v>10</v>
      </c>
      <c r="C935" s="3">
        <v>42978</v>
      </c>
      <c r="D935" s="3">
        <v>42978</v>
      </c>
      <c r="E935" s="3">
        <v>42986</v>
      </c>
      <c r="F935" s="3"/>
      <c r="G935">
        <v>32200.400000000001</v>
      </c>
      <c r="H935">
        <v>37352.5</v>
      </c>
      <c r="I935" t="s">
        <v>56</v>
      </c>
    </row>
    <row r="936" spans="1:9" x14ac:dyDescent="0.2">
      <c r="A936" t="s">
        <v>18</v>
      </c>
      <c r="B936" t="s">
        <v>10</v>
      </c>
      <c r="C936" s="3">
        <v>42978</v>
      </c>
      <c r="D936" s="3">
        <v>42971</v>
      </c>
      <c r="E936" s="3">
        <v>43008</v>
      </c>
      <c r="F936" s="3"/>
      <c r="G936">
        <v>27723</v>
      </c>
      <c r="H936">
        <v>32158.6</v>
      </c>
      <c r="I936" t="s">
        <v>56</v>
      </c>
    </row>
    <row r="937" spans="1:9" x14ac:dyDescent="0.2">
      <c r="A937" t="s">
        <v>25</v>
      </c>
      <c r="B937" t="s">
        <v>10</v>
      </c>
      <c r="C937" s="3">
        <v>42978</v>
      </c>
      <c r="D937" s="3">
        <v>42978</v>
      </c>
      <c r="E937" s="3">
        <v>43008</v>
      </c>
      <c r="F937" s="3"/>
      <c r="G937">
        <v>17198</v>
      </c>
      <c r="H937">
        <v>19949.599999999999</v>
      </c>
      <c r="I937" t="s">
        <v>56</v>
      </c>
    </row>
    <row r="938" spans="1:9" x14ac:dyDescent="0.2">
      <c r="A938" t="s">
        <v>40</v>
      </c>
      <c r="B938" t="s">
        <v>10</v>
      </c>
      <c r="C938" s="3">
        <v>42977</v>
      </c>
      <c r="D938" s="3">
        <v>42977</v>
      </c>
      <c r="E938" s="3">
        <v>42992</v>
      </c>
      <c r="F938" s="3"/>
      <c r="G938">
        <v>19800</v>
      </c>
      <c r="H938">
        <v>22968</v>
      </c>
      <c r="I938" t="s">
        <v>56</v>
      </c>
    </row>
    <row r="939" spans="1:9" x14ac:dyDescent="0.2">
      <c r="A939" t="s">
        <v>20</v>
      </c>
      <c r="B939" t="s">
        <v>10</v>
      </c>
      <c r="C939" s="3">
        <v>42975</v>
      </c>
      <c r="D939" s="3">
        <v>42975</v>
      </c>
      <c r="E939" s="3">
        <v>43020</v>
      </c>
      <c r="F939" s="3"/>
      <c r="G939">
        <v>40490</v>
      </c>
      <c r="H939">
        <v>46968.4</v>
      </c>
      <c r="I939" t="s">
        <v>56</v>
      </c>
    </row>
    <row r="940" spans="1:9" x14ac:dyDescent="0.2">
      <c r="A940" t="s">
        <v>41</v>
      </c>
      <c r="B940" t="s">
        <v>10</v>
      </c>
      <c r="C940" s="3">
        <v>42972</v>
      </c>
      <c r="D940" s="3">
        <v>42972</v>
      </c>
      <c r="E940" s="3">
        <v>42980</v>
      </c>
      <c r="F940" s="3"/>
      <c r="G940">
        <v>22257.200000000001</v>
      </c>
      <c r="H940">
        <v>25818.3</v>
      </c>
      <c r="I940" t="s">
        <v>56</v>
      </c>
    </row>
    <row r="941" spans="1:9" x14ac:dyDescent="0.2">
      <c r="A941" t="s">
        <v>41</v>
      </c>
      <c r="B941" t="s">
        <v>10</v>
      </c>
      <c r="C941" s="3">
        <v>42971</v>
      </c>
      <c r="D941" s="3">
        <v>42971</v>
      </c>
      <c r="E941" s="3">
        <v>42979</v>
      </c>
      <c r="F941" s="3"/>
      <c r="G941">
        <v>2594.5500000000002</v>
      </c>
      <c r="H941">
        <v>3009.68</v>
      </c>
      <c r="I941" t="s">
        <v>56</v>
      </c>
    </row>
    <row r="942" spans="1:9" x14ac:dyDescent="0.2">
      <c r="A942" t="s">
        <v>18</v>
      </c>
      <c r="B942" t="s">
        <v>10</v>
      </c>
      <c r="C942" s="3">
        <v>42970</v>
      </c>
      <c r="D942" s="3">
        <v>42970</v>
      </c>
      <c r="E942" s="3">
        <v>43000</v>
      </c>
      <c r="F942" s="3"/>
      <c r="G942">
        <v>22037</v>
      </c>
      <c r="H942">
        <v>25562.9</v>
      </c>
      <c r="I942" t="s">
        <v>56</v>
      </c>
    </row>
    <row r="943" spans="1:9" x14ac:dyDescent="0.2">
      <c r="A943" t="s">
        <v>18</v>
      </c>
      <c r="B943" t="s">
        <v>10</v>
      </c>
      <c r="C943" s="3">
        <v>42970</v>
      </c>
      <c r="D943" s="3">
        <v>42970</v>
      </c>
      <c r="E943" s="3">
        <v>43000</v>
      </c>
      <c r="F943" s="3"/>
      <c r="G943">
        <v>4676</v>
      </c>
      <c r="H943">
        <v>5424.16</v>
      </c>
      <c r="I943" t="s">
        <v>56</v>
      </c>
    </row>
    <row r="944" spans="1:9" x14ac:dyDescent="0.2">
      <c r="A944" t="s">
        <v>18</v>
      </c>
      <c r="B944" t="s">
        <v>10</v>
      </c>
      <c r="C944" s="3">
        <v>42970</v>
      </c>
      <c r="D944" s="3">
        <v>42970</v>
      </c>
      <c r="E944" s="3">
        <v>43000</v>
      </c>
      <c r="F944" s="3"/>
      <c r="G944">
        <v>5692</v>
      </c>
      <c r="H944">
        <v>6602.72</v>
      </c>
      <c r="I944" t="s">
        <v>56</v>
      </c>
    </row>
    <row r="945" spans="1:9" x14ac:dyDescent="0.2">
      <c r="A945" t="s">
        <v>18</v>
      </c>
      <c r="B945" t="s">
        <v>10</v>
      </c>
      <c r="C945" s="3">
        <v>42969</v>
      </c>
      <c r="D945" s="3">
        <v>42969</v>
      </c>
      <c r="E945" s="3">
        <v>42999</v>
      </c>
      <c r="F945" s="3"/>
      <c r="G945">
        <v>27000</v>
      </c>
      <c r="H945">
        <v>31320</v>
      </c>
      <c r="I945" t="s">
        <v>56</v>
      </c>
    </row>
    <row r="946" spans="1:9" x14ac:dyDescent="0.2">
      <c r="A946" t="s">
        <v>41</v>
      </c>
      <c r="B946" t="s">
        <v>10</v>
      </c>
      <c r="C946" s="3">
        <v>42963</v>
      </c>
      <c r="D946" s="3">
        <v>42963</v>
      </c>
      <c r="E946" s="3">
        <v>42971</v>
      </c>
      <c r="F946" s="3"/>
      <c r="G946">
        <v>1915.97</v>
      </c>
      <c r="H946">
        <v>2222.5</v>
      </c>
      <c r="I946" t="s">
        <v>56</v>
      </c>
    </row>
    <row r="947" spans="1:9" x14ac:dyDescent="0.2">
      <c r="A947" t="s">
        <v>18</v>
      </c>
      <c r="B947" t="s">
        <v>10</v>
      </c>
      <c r="C947" s="3">
        <v>42963</v>
      </c>
      <c r="D947" s="3">
        <v>42963</v>
      </c>
      <c r="E947" s="3">
        <v>42993</v>
      </c>
      <c r="F947" s="3"/>
      <c r="G947">
        <v>4500</v>
      </c>
      <c r="H947">
        <v>5220</v>
      </c>
      <c r="I947" t="s">
        <v>56</v>
      </c>
    </row>
    <row r="948" spans="1:9" x14ac:dyDescent="0.2">
      <c r="A948" t="s">
        <v>18</v>
      </c>
      <c r="B948" t="s">
        <v>10</v>
      </c>
      <c r="C948" s="3">
        <v>42963</v>
      </c>
      <c r="D948" s="3">
        <v>42963</v>
      </c>
      <c r="E948" s="3">
        <v>42993</v>
      </c>
      <c r="F948" s="3"/>
      <c r="G948">
        <v>6265</v>
      </c>
      <c r="H948">
        <v>7267.4</v>
      </c>
      <c r="I948" t="s">
        <v>56</v>
      </c>
    </row>
    <row r="949" spans="1:9" x14ac:dyDescent="0.2">
      <c r="A949" t="s">
        <v>18</v>
      </c>
      <c r="B949" t="s">
        <v>10</v>
      </c>
      <c r="C949" s="3">
        <v>42963</v>
      </c>
      <c r="D949" s="3">
        <v>42963</v>
      </c>
      <c r="E949" s="3">
        <v>42993</v>
      </c>
      <c r="F949" s="3"/>
      <c r="G949">
        <v>5516</v>
      </c>
      <c r="H949">
        <v>6398.56</v>
      </c>
      <c r="I949" t="s">
        <v>56</v>
      </c>
    </row>
    <row r="950" spans="1:9" x14ac:dyDescent="0.2">
      <c r="A950" t="s">
        <v>41</v>
      </c>
      <c r="B950" t="s">
        <v>10</v>
      </c>
      <c r="C950" s="3">
        <v>42962</v>
      </c>
      <c r="D950" s="3">
        <v>42962</v>
      </c>
      <c r="E950" s="3">
        <v>42970</v>
      </c>
      <c r="F950" s="3"/>
      <c r="G950">
        <v>17513.3</v>
      </c>
      <c r="H950">
        <v>20315.400000000001</v>
      </c>
      <c r="I950" t="s">
        <v>56</v>
      </c>
    </row>
    <row r="951" spans="1:9" x14ac:dyDescent="0.2">
      <c r="A951" t="s">
        <v>41</v>
      </c>
      <c r="B951" t="s">
        <v>10</v>
      </c>
      <c r="C951" s="3">
        <v>42962</v>
      </c>
      <c r="D951" s="3">
        <v>42962</v>
      </c>
      <c r="E951" s="3">
        <v>42970</v>
      </c>
      <c r="F951" s="3"/>
      <c r="G951">
        <v>12031.6</v>
      </c>
      <c r="H951">
        <v>13956.7</v>
      </c>
      <c r="I951" t="s">
        <v>56</v>
      </c>
    </row>
    <row r="952" spans="1:9" x14ac:dyDescent="0.2">
      <c r="A952" t="s">
        <v>23</v>
      </c>
      <c r="B952" t="s">
        <v>10</v>
      </c>
      <c r="C952" s="3">
        <v>42961</v>
      </c>
      <c r="D952" s="3">
        <v>42961</v>
      </c>
      <c r="E952" s="3">
        <v>43021</v>
      </c>
      <c r="F952" s="3"/>
      <c r="G952">
        <v>1636</v>
      </c>
      <c r="H952">
        <v>1897.76</v>
      </c>
      <c r="I952" t="s">
        <v>56</v>
      </c>
    </row>
    <row r="953" spans="1:9" x14ac:dyDescent="0.2">
      <c r="A953" t="s">
        <v>23</v>
      </c>
      <c r="B953" t="s">
        <v>10</v>
      </c>
      <c r="C953" s="3">
        <v>42961</v>
      </c>
      <c r="D953" s="3">
        <v>42961</v>
      </c>
      <c r="E953" s="3">
        <v>43021</v>
      </c>
      <c r="F953" s="3"/>
      <c r="G953">
        <v>1900</v>
      </c>
      <c r="H953">
        <v>2204</v>
      </c>
      <c r="I953" t="s">
        <v>56</v>
      </c>
    </row>
    <row r="954" spans="1:9" x14ac:dyDescent="0.2">
      <c r="A954" t="s">
        <v>23</v>
      </c>
      <c r="B954" t="s">
        <v>10</v>
      </c>
      <c r="C954" s="3">
        <v>42961</v>
      </c>
      <c r="D954" s="3">
        <v>42961</v>
      </c>
      <c r="E954" s="3">
        <v>43021</v>
      </c>
      <c r="F954" s="3"/>
      <c r="G954">
        <v>2280</v>
      </c>
      <c r="H954">
        <v>2644.8</v>
      </c>
      <c r="I954" t="s">
        <v>56</v>
      </c>
    </row>
    <row r="955" spans="1:9" x14ac:dyDescent="0.2">
      <c r="A955" t="s">
        <v>26</v>
      </c>
      <c r="B955" t="s">
        <v>10</v>
      </c>
      <c r="C955" s="3">
        <v>42961</v>
      </c>
      <c r="D955" s="3">
        <v>42961</v>
      </c>
      <c r="E955" s="3">
        <v>42968</v>
      </c>
      <c r="F955" s="3"/>
      <c r="G955">
        <v>422</v>
      </c>
      <c r="H955">
        <v>489.52</v>
      </c>
      <c r="I955" t="s">
        <v>56</v>
      </c>
    </row>
    <row r="956" spans="1:9" x14ac:dyDescent="0.2">
      <c r="A956" t="s">
        <v>43</v>
      </c>
      <c r="B956" t="s">
        <v>10</v>
      </c>
      <c r="C956" s="3">
        <v>42961</v>
      </c>
      <c r="D956" s="3">
        <v>42961</v>
      </c>
      <c r="E956" s="3">
        <v>42963</v>
      </c>
      <c r="F956" s="3"/>
      <c r="G956">
        <v>3270</v>
      </c>
      <c r="H956">
        <v>3793.2</v>
      </c>
      <c r="I956" t="s">
        <v>56</v>
      </c>
    </row>
    <row r="957" spans="1:9" x14ac:dyDescent="0.2">
      <c r="A957" t="s">
        <v>43</v>
      </c>
      <c r="B957" t="s">
        <v>10</v>
      </c>
      <c r="C957" s="3">
        <v>42958</v>
      </c>
      <c r="D957" s="3">
        <v>42957</v>
      </c>
      <c r="E957" s="3">
        <v>42960</v>
      </c>
      <c r="F957" s="3"/>
      <c r="G957">
        <v>1085</v>
      </c>
      <c r="H957">
        <v>1258.5999999999999</v>
      </c>
      <c r="I957" t="s">
        <v>56</v>
      </c>
    </row>
    <row r="958" spans="1:9" x14ac:dyDescent="0.2">
      <c r="A958" t="s">
        <v>25</v>
      </c>
      <c r="B958" t="s">
        <v>10</v>
      </c>
      <c r="C958" s="3">
        <v>42956</v>
      </c>
      <c r="D958" s="3">
        <v>42956</v>
      </c>
      <c r="E958" s="3">
        <v>42986</v>
      </c>
      <c r="F958" s="3"/>
      <c r="G958">
        <v>15045</v>
      </c>
      <c r="H958">
        <v>17452.2</v>
      </c>
      <c r="I958" t="s">
        <v>56</v>
      </c>
    </row>
    <row r="959" spans="1:9" x14ac:dyDescent="0.2">
      <c r="A959" t="s">
        <v>41</v>
      </c>
      <c r="B959" t="s">
        <v>10</v>
      </c>
      <c r="C959" s="3">
        <v>42955</v>
      </c>
      <c r="D959" s="3">
        <v>42955</v>
      </c>
      <c r="E959" s="3">
        <v>42963</v>
      </c>
      <c r="F959" s="3"/>
      <c r="G959">
        <v>5192.3500000000004</v>
      </c>
      <c r="H959">
        <v>6023.06</v>
      </c>
      <c r="I959" t="s">
        <v>56</v>
      </c>
    </row>
    <row r="960" spans="1:9" x14ac:dyDescent="0.2">
      <c r="A960" t="s">
        <v>18</v>
      </c>
      <c r="B960" t="s">
        <v>10</v>
      </c>
      <c r="C960" s="3">
        <v>42955</v>
      </c>
      <c r="D960" s="3">
        <v>42955</v>
      </c>
      <c r="E960" s="3">
        <v>42985</v>
      </c>
      <c r="F960" s="3"/>
      <c r="G960">
        <v>8232</v>
      </c>
      <c r="H960">
        <v>9549.1200000000008</v>
      </c>
      <c r="I960" t="s">
        <v>56</v>
      </c>
    </row>
    <row r="961" spans="1:9" x14ac:dyDescent="0.2">
      <c r="A961" t="s">
        <v>18</v>
      </c>
      <c r="B961" t="s">
        <v>10</v>
      </c>
      <c r="C961" s="3">
        <v>42955</v>
      </c>
      <c r="D961" s="3">
        <v>42955</v>
      </c>
      <c r="E961" s="3">
        <v>42985</v>
      </c>
      <c r="F961" s="3"/>
      <c r="G961">
        <v>29480</v>
      </c>
      <c r="H961">
        <v>34196.800000000003</v>
      </c>
      <c r="I961" t="s">
        <v>56</v>
      </c>
    </row>
    <row r="962" spans="1:9" x14ac:dyDescent="0.2">
      <c r="A962" t="s">
        <v>22</v>
      </c>
      <c r="B962" t="s">
        <v>10</v>
      </c>
      <c r="C962" s="3">
        <v>42954</v>
      </c>
      <c r="D962" s="3">
        <v>42954</v>
      </c>
      <c r="E962" s="3">
        <v>43014</v>
      </c>
      <c r="F962" s="3"/>
      <c r="G962">
        <v>1107.94</v>
      </c>
      <c r="H962">
        <v>1285.21</v>
      </c>
      <c r="I962" t="s">
        <v>56</v>
      </c>
    </row>
    <row r="963" spans="1:9" x14ac:dyDescent="0.2">
      <c r="A963" t="s">
        <v>13</v>
      </c>
      <c r="B963" t="s">
        <v>10</v>
      </c>
      <c r="C963" s="3">
        <v>42951</v>
      </c>
      <c r="D963" s="3">
        <v>42951</v>
      </c>
      <c r="E963" s="3">
        <v>42981</v>
      </c>
      <c r="F963" s="3"/>
      <c r="G963">
        <v>175</v>
      </c>
      <c r="H963">
        <v>203</v>
      </c>
      <c r="I963" t="s">
        <v>56</v>
      </c>
    </row>
    <row r="964" spans="1:9" x14ac:dyDescent="0.2">
      <c r="A964" t="s">
        <v>36</v>
      </c>
      <c r="B964" t="s">
        <v>10</v>
      </c>
      <c r="C964" s="3">
        <v>42951</v>
      </c>
      <c r="D964" s="3">
        <v>42951</v>
      </c>
      <c r="E964" s="3">
        <v>42966</v>
      </c>
      <c r="F964" s="3"/>
      <c r="G964">
        <v>4280</v>
      </c>
      <c r="H964">
        <v>4964.8</v>
      </c>
      <c r="I964" t="s">
        <v>56</v>
      </c>
    </row>
    <row r="965" spans="1:9" x14ac:dyDescent="0.2">
      <c r="A965" t="s">
        <v>41</v>
      </c>
      <c r="B965" t="s">
        <v>10</v>
      </c>
      <c r="C965" s="3">
        <v>42950</v>
      </c>
      <c r="D965" s="3">
        <v>42950</v>
      </c>
      <c r="E965" s="3">
        <v>42958</v>
      </c>
      <c r="F965" s="3"/>
      <c r="G965">
        <v>91902.2</v>
      </c>
      <c r="H965">
        <v>106606</v>
      </c>
      <c r="I965" t="s">
        <v>56</v>
      </c>
    </row>
    <row r="966" spans="1:9" x14ac:dyDescent="0.2">
      <c r="A966" t="s">
        <v>41</v>
      </c>
      <c r="B966" t="s">
        <v>10</v>
      </c>
      <c r="C966" s="3">
        <v>42950</v>
      </c>
      <c r="D966" s="3">
        <v>42950</v>
      </c>
      <c r="E966" s="3">
        <v>42958</v>
      </c>
      <c r="F966" s="3"/>
      <c r="G966">
        <v>76599.5</v>
      </c>
      <c r="H966">
        <v>88855.5</v>
      </c>
      <c r="I966" t="s">
        <v>56</v>
      </c>
    </row>
    <row r="967" spans="1:9" x14ac:dyDescent="0.2">
      <c r="A967" t="s">
        <v>18</v>
      </c>
      <c r="B967" t="s">
        <v>10</v>
      </c>
      <c r="C967" s="3">
        <v>42950</v>
      </c>
      <c r="D967" s="3">
        <v>42950</v>
      </c>
      <c r="E967" s="3">
        <v>42980</v>
      </c>
      <c r="F967" s="3"/>
      <c r="G967">
        <v>16892</v>
      </c>
      <c r="H967">
        <v>19594.7</v>
      </c>
      <c r="I967" t="s">
        <v>56</v>
      </c>
    </row>
    <row r="968" spans="1:9" x14ac:dyDescent="0.2">
      <c r="A968" t="s">
        <v>18</v>
      </c>
      <c r="B968" t="s">
        <v>10</v>
      </c>
      <c r="C968" s="3">
        <v>42950</v>
      </c>
      <c r="D968" s="3">
        <v>42950</v>
      </c>
      <c r="E968" s="3">
        <v>42980</v>
      </c>
      <c r="F968" s="3"/>
      <c r="G968">
        <v>59704</v>
      </c>
      <c r="H968">
        <v>69256.600000000006</v>
      </c>
      <c r="I968" t="s">
        <v>56</v>
      </c>
    </row>
    <row r="969" spans="1:9" x14ac:dyDescent="0.2">
      <c r="A969" t="s">
        <v>22</v>
      </c>
      <c r="B969" t="s">
        <v>10</v>
      </c>
      <c r="C969" s="3">
        <v>42950</v>
      </c>
      <c r="D969" s="3">
        <v>42950</v>
      </c>
      <c r="E969" s="3">
        <v>43010</v>
      </c>
      <c r="F969" s="3"/>
      <c r="G969">
        <v>935.92</v>
      </c>
      <c r="H969">
        <v>1085.7</v>
      </c>
      <c r="I969" t="s">
        <v>56</v>
      </c>
    </row>
    <row r="970" spans="1:9" x14ac:dyDescent="0.2">
      <c r="A970" t="s">
        <v>18</v>
      </c>
      <c r="B970" t="s">
        <v>10</v>
      </c>
      <c r="C970" s="3">
        <v>42949</v>
      </c>
      <c r="D970" s="3">
        <v>42949</v>
      </c>
      <c r="E970" s="3">
        <v>42979</v>
      </c>
      <c r="F970" s="3"/>
      <c r="G970">
        <v>29480</v>
      </c>
      <c r="H970">
        <v>34196.800000000003</v>
      </c>
      <c r="I970" t="s">
        <v>56</v>
      </c>
    </row>
    <row r="971" spans="1:9" x14ac:dyDescent="0.2">
      <c r="A971" t="s">
        <v>26</v>
      </c>
      <c r="B971" t="s">
        <v>10</v>
      </c>
      <c r="C971" s="3">
        <v>42949</v>
      </c>
      <c r="D971" s="3">
        <v>42949</v>
      </c>
      <c r="E971" s="3">
        <v>42956</v>
      </c>
      <c r="F971" s="3"/>
      <c r="G971">
        <v>76103.199999999997</v>
      </c>
      <c r="H971">
        <v>88279.7</v>
      </c>
      <c r="I971" t="s">
        <v>56</v>
      </c>
    </row>
    <row r="972" spans="1:9" x14ac:dyDescent="0.2">
      <c r="A972" t="s">
        <v>26</v>
      </c>
      <c r="B972" t="s">
        <v>10</v>
      </c>
      <c r="C972" s="3">
        <v>42949</v>
      </c>
      <c r="D972" s="3">
        <v>42949</v>
      </c>
      <c r="E972" s="3">
        <v>42956</v>
      </c>
      <c r="F972" s="3"/>
      <c r="G972">
        <v>198654</v>
      </c>
      <c r="H972">
        <v>230439</v>
      </c>
      <c r="I972" t="s">
        <v>56</v>
      </c>
    </row>
    <row r="973" spans="1:9" x14ac:dyDescent="0.2">
      <c r="A973" t="s">
        <v>40</v>
      </c>
      <c r="B973" t="s">
        <v>10</v>
      </c>
      <c r="C973" s="3">
        <v>42948</v>
      </c>
      <c r="D973" s="3">
        <v>42948</v>
      </c>
      <c r="E973" s="3">
        <v>42963</v>
      </c>
      <c r="F973" s="3"/>
      <c r="G973">
        <v>41860</v>
      </c>
      <c r="H973">
        <v>48557.599999999999</v>
      </c>
      <c r="I973" t="s">
        <v>56</v>
      </c>
    </row>
    <row r="974" spans="1:9" x14ac:dyDescent="0.2">
      <c r="A974" t="s">
        <v>18</v>
      </c>
      <c r="B974" t="s">
        <v>10</v>
      </c>
      <c r="C974" s="3">
        <v>42948</v>
      </c>
      <c r="D974" s="3">
        <v>42948</v>
      </c>
      <c r="E974" s="3">
        <v>42978</v>
      </c>
      <c r="F974" s="3"/>
      <c r="G974">
        <v>8330</v>
      </c>
      <c r="H974">
        <v>9662.7999999999993</v>
      </c>
      <c r="I974" t="s">
        <v>56</v>
      </c>
    </row>
    <row r="975" spans="1:9" x14ac:dyDescent="0.2">
      <c r="A975" t="s">
        <v>41</v>
      </c>
      <c r="B975" t="s">
        <v>10</v>
      </c>
      <c r="C975" s="3">
        <v>42947</v>
      </c>
      <c r="D975" s="3">
        <v>42947</v>
      </c>
      <c r="E975" s="3">
        <v>42955</v>
      </c>
      <c r="F975" s="3"/>
      <c r="G975">
        <v>62576.7</v>
      </c>
      <c r="H975">
        <v>72589.100000000006</v>
      </c>
      <c r="I975" t="s">
        <v>56</v>
      </c>
    </row>
    <row r="976" spans="1:9" x14ac:dyDescent="0.2">
      <c r="A976" t="s">
        <v>18</v>
      </c>
      <c r="B976" t="s">
        <v>10</v>
      </c>
      <c r="C976" s="3">
        <v>42944</v>
      </c>
      <c r="D976" s="3">
        <v>42944</v>
      </c>
      <c r="E976" s="3">
        <v>42974</v>
      </c>
      <c r="F976" s="3"/>
      <c r="G976">
        <v>16892</v>
      </c>
      <c r="H976">
        <v>19594.7</v>
      </c>
      <c r="I976" t="s">
        <v>56</v>
      </c>
    </row>
    <row r="977" spans="1:9" x14ac:dyDescent="0.2">
      <c r="A977" t="s">
        <v>39</v>
      </c>
      <c r="B977" t="s">
        <v>10</v>
      </c>
      <c r="C977" s="3">
        <v>42944</v>
      </c>
      <c r="D977" s="3">
        <v>42930</v>
      </c>
      <c r="E977" s="3">
        <v>42952</v>
      </c>
      <c r="F977" s="3"/>
      <c r="G977">
        <v>8639.9599999999991</v>
      </c>
      <c r="H977">
        <v>10022.299999999999</v>
      </c>
      <c r="I977" t="s">
        <v>56</v>
      </c>
    </row>
    <row r="978" spans="1:9" x14ac:dyDescent="0.2">
      <c r="A978" t="s">
        <v>18</v>
      </c>
      <c r="B978" t="s">
        <v>10</v>
      </c>
      <c r="C978" s="3">
        <v>42944</v>
      </c>
      <c r="D978" s="3">
        <v>42944</v>
      </c>
      <c r="E978" s="3">
        <v>42974</v>
      </c>
      <c r="F978" s="3"/>
      <c r="G978">
        <v>1964</v>
      </c>
      <c r="H978">
        <v>2278.2399999999998</v>
      </c>
      <c r="I978" t="s">
        <v>56</v>
      </c>
    </row>
    <row r="979" spans="1:9" x14ac:dyDescent="0.2">
      <c r="A979" t="s">
        <v>40</v>
      </c>
      <c r="B979" t="s">
        <v>10</v>
      </c>
      <c r="C979" s="3">
        <v>42944</v>
      </c>
      <c r="D979" s="3">
        <v>42944</v>
      </c>
      <c r="E979" s="3">
        <v>42959</v>
      </c>
      <c r="F979" s="3"/>
      <c r="G979">
        <v>4560</v>
      </c>
      <c r="H979">
        <v>5289.6</v>
      </c>
      <c r="I979" t="s">
        <v>56</v>
      </c>
    </row>
    <row r="980" spans="1:9" x14ac:dyDescent="0.2">
      <c r="A980" t="s">
        <v>40</v>
      </c>
      <c r="B980" t="s">
        <v>10</v>
      </c>
      <c r="C980" s="3">
        <v>42942</v>
      </c>
      <c r="D980" s="3">
        <v>42942</v>
      </c>
      <c r="E980" s="3">
        <v>42957</v>
      </c>
      <c r="F980" s="3"/>
      <c r="G980">
        <v>18650</v>
      </c>
      <c r="H980">
        <v>21634</v>
      </c>
      <c r="I980" t="s">
        <v>56</v>
      </c>
    </row>
    <row r="981" spans="1:9" x14ac:dyDescent="0.2">
      <c r="A981" t="s">
        <v>18</v>
      </c>
      <c r="B981" t="s">
        <v>10</v>
      </c>
      <c r="C981" s="3">
        <v>42941</v>
      </c>
      <c r="D981" s="3">
        <v>42941</v>
      </c>
      <c r="E981" s="3">
        <v>42971</v>
      </c>
      <c r="F981" s="3"/>
      <c r="G981">
        <v>41712</v>
      </c>
      <c r="H981">
        <v>48385.9</v>
      </c>
      <c r="I981" t="s">
        <v>56</v>
      </c>
    </row>
    <row r="982" spans="1:9" x14ac:dyDescent="0.2">
      <c r="A982" t="s">
        <v>26</v>
      </c>
      <c r="B982" t="s">
        <v>10</v>
      </c>
      <c r="C982" s="3">
        <v>42941</v>
      </c>
      <c r="D982" s="3">
        <v>42941</v>
      </c>
      <c r="E982" s="3">
        <v>42948</v>
      </c>
      <c r="F982" s="3"/>
      <c r="G982">
        <v>73225.2</v>
      </c>
      <c r="H982">
        <v>84941.2</v>
      </c>
      <c r="I982" t="s">
        <v>56</v>
      </c>
    </row>
    <row r="983" spans="1:9" x14ac:dyDescent="0.2">
      <c r="A983" t="s">
        <v>26</v>
      </c>
      <c r="B983" t="s">
        <v>10</v>
      </c>
      <c r="C983" s="3">
        <v>42941</v>
      </c>
      <c r="D983" s="3">
        <v>42941</v>
      </c>
      <c r="E983" s="3">
        <v>42948</v>
      </c>
      <c r="F983" s="3"/>
      <c r="G983">
        <v>87273.2</v>
      </c>
      <c r="H983">
        <v>101236</v>
      </c>
      <c r="I983" t="s">
        <v>56</v>
      </c>
    </row>
    <row r="984" spans="1:9" x14ac:dyDescent="0.2">
      <c r="A984" t="s">
        <v>13</v>
      </c>
      <c r="B984" t="s">
        <v>10</v>
      </c>
      <c r="C984" s="3">
        <v>42941</v>
      </c>
      <c r="D984" s="3">
        <v>42941</v>
      </c>
      <c r="E984" s="3">
        <v>42971</v>
      </c>
      <c r="F984" s="3"/>
      <c r="G984">
        <v>2247</v>
      </c>
      <c r="H984">
        <v>2606.52</v>
      </c>
      <c r="I984" t="s">
        <v>56</v>
      </c>
    </row>
    <row r="985" spans="1:9" x14ac:dyDescent="0.2">
      <c r="A985" t="s">
        <v>41</v>
      </c>
      <c r="B985" t="s">
        <v>10</v>
      </c>
      <c r="C985" s="3">
        <v>42940</v>
      </c>
      <c r="D985" s="3">
        <v>42940</v>
      </c>
      <c r="E985" s="3">
        <v>42948</v>
      </c>
      <c r="F985" s="3"/>
      <c r="G985">
        <v>76.959999999999994</v>
      </c>
      <c r="H985">
        <v>89.2</v>
      </c>
      <c r="I985" t="s">
        <v>56</v>
      </c>
    </row>
    <row r="986" spans="1:9" x14ac:dyDescent="0.2">
      <c r="A986" t="s">
        <v>26</v>
      </c>
      <c r="B986" t="s">
        <v>10</v>
      </c>
      <c r="C986" s="3">
        <v>42937</v>
      </c>
      <c r="D986" s="3">
        <v>42937</v>
      </c>
      <c r="E986" s="3">
        <v>42944</v>
      </c>
      <c r="F986" s="3"/>
      <c r="G986">
        <v>6094.2</v>
      </c>
      <c r="H986">
        <v>7069.27</v>
      </c>
      <c r="I986" t="s">
        <v>56</v>
      </c>
    </row>
    <row r="987" spans="1:9" x14ac:dyDescent="0.2">
      <c r="A987" t="s">
        <v>41</v>
      </c>
      <c r="B987" t="s">
        <v>10</v>
      </c>
      <c r="C987" s="3">
        <v>42937</v>
      </c>
      <c r="D987" s="3">
        <v>42937</v>
      </c>
      <c r="E987" s="3">
        <v>42945</v>
      </c>
      <c r="F987" s="3"/>
      <c r="G987">
        <v>692.6</v>
      </c>
      <c r="H987">
        <v>803.49</v>
      </c>
      <c r="I987" t="s">
        <v>56</v>
      </c>
    </row>
    <row r="988" spans="1:9" x14ac:dyDescent="0.2">
      <c r="A988" t="s">
        <v>41</v>
      </c>
      <c r="B988" t="s">
        <v>10</v>
      </c>
      <c r="C988" s="3">
        <v>42936</v>
      </c>
      <c r="D988" s="3">
        <v>42936</v>
      </c>
      <c r="E988" s="3">
        <v>42944</v>
      </c>
      <c r="F988" s="3"/>
      <c r="G988">
        <v>13151.5</v>
      </c>
      <c r="H988">
        <v>15255.7</v>
      </c>
      <c r="I988" t="s">
        <v>56</v>
      </c>
    </row>
    <row r="989" spans="1:9" x14ac:dyDescent="0.2">
      <c r="A989" t="s">
        <v>13</v>
      </c>
      <c r="B989" t="s">
        <v>10</v>
      </c>
      <c r="C989" s="3">
        <v>42935</v>
      </c>
      <c r="D989" s="3">
        <v>42935</v>
      </c>
      <c r="E989" s="3">
        <v>42965</v>
      </c>
      <c r="F989" s="3"/>
      <c r="G989">
        <v>11320</v>
      </c>
      <c r="H989">
        <v>13131.2</v>
      </c>
      <c r="I989" t="s">
        <v>56</v>
      </c>
    </row>
    <row r="990" spans="1:9" x14ac:dyDescent="0.2">
      <c r="A990" t="s">
        <v>41</v>
      </c>
      <c r="B990" t="s">
        <v>10</v>
      </c>
      <c r="C990" s="3">
        <v>42935</v>
      </c>
      <c r="D990" s="3">
        <v>42935</v>
      </c>
      <c r="E990" s="3">
        <v>42943</v>
      </c>
      <c r="F990" s="3"/>
      <c r="G990">
        <v>29307.200000000001</v>
      </c>
      <c r="H990">
        <v>33996.300000000003</v>
      </c>
      <c r="I990" t="s">
        <v>56</v>
      </c>
    </row>
    <row r="991" spans="1:9" x14ac:dyDescent="0.2">
      <c r="A991" t="s">
        <v>26</v>
      </c>
      <c r="B991" t="s">
        <v>10</v>
      </c>
      <c r="C991" s="3">
        <v>42935</v>
      </c>
      <c r="D991" s="3">
        <v>42935</v>
      </c>
      <c r="E991" s="3">
        <v>42942</v>
      </c>
      <c r="F991" s="3"/>
      <c r="G991">
        <v>274599</v>
      </c>
      <c r="H991">
        <v>318535</v>
      </c>
      <c r="I991" t="s">
        <v>56</v>
      </c>
    </row>
    <row r="992" spans="1:9" x14ac:dyDescent="0.2">
      <c r="A992" t="s">
        <v>26</v>
      </c>
      <c r="B992" t="s">
        <v>10</v>
      </c>
      <c r="C992" s="3">
        <v>42935</v>
      </c>
      <c r="D992" s="3">
        <v>42935</v>
      </c>
      <c r="E992" s="3">
        <v>42942</v>
      </c>
      <c r="F992" s="3"/>
      <c r="G992">
        <v>256580</v>
      </c>
      <c r="H992">
        <v>297632</v>
      </c>
      <c r="I992" t="s">
        <v>56</v>
      </c>
    </row>
    <row r="993" spans="1:9" x14ac:dyDescent="0.2">
      <c r="A993" t="s">
        <v>41</v>
      </c>
      <c r="B993" t="s">
        <v>10</v>
      </c>
      <c r="C993" s="3">
        <v>42935</v>
      </c>
      <c r="D993" s="3">
        <v>42935</v>
      </c>
      <c r="E993" s="3">
        <v>42943</v>
      </c>
      <c r="F993" s="3"/>
      <c r="G993">
        <v>58806.6</v>
      </c>
      <c r="H993">
        <v>68215.600000000006</v>
      </c>
      <c r="I993" t="s">
        <v>56</v>
      </c>
    </row>
    <row r="994" spans="1:9" x14ac:dyDescent="0.2">
      <c r="A994" t="s">
        <v>26</v>
      </c>
      <c r="B994" t="s">
        <v>10</v>
      </c>
      <c r="C994" s="3">
        <v>42933</v>
      </c>
      <c r="D994" s="3">
        <v>42933</v>
      </c>
      <c r="E994" s="3">
        <v>42940</v>
      </c>
      <c r="F994" s="3"/>
      <c r="G994">
        <v>11613</v>
      </c>
      <c r="H994">
        <v>13471</v>
      </c>
      <c r="I994" t="s">
        <v>56</v>
      </c>
    </row>
    <row r="995" spans="1:9" x14ac:dyDescent="0.2">
      <c r="A995" t="s">
        <v>59</v>
      </c>
      <c r="B995" t="s">
        <v>10</v>
      </c>
      <c r="C995" s="3">
        <v>42933</v>
      </c>
      <c r="D995" s="3">
        <v>42933</v>
      </c>
      <c r="E995" s="3">
        <v>42948</v>
      </c>
      <c r="F995" s="3"/>
      <c r="G995">
        <v>2950</v>
      </c>
      <c r="H995">
        <v>3422</v>
      </c>
      <c r="I995" t="s">
        <v>56</v>
      </c>
    </row>
    <row r="996" spans="1:9" x14ac:dyDescent="0.2">
      <c r="A996" t="s">
        <v>20</v>
      </c>
      <c r="B996" t="s">
        <v>10</v>
      </c>
      <c r="C996" s="3">
        <v>42930</v>
      </c>
      <c r="D996" s="3">
        <v>42930</v>
      </c>
      <c r="E996" s="3">
        <v>42975</v>
      </c>
      <c r="F996" s="3"/>
      <c r="G996">
        <v>58070</v>
      </c>
      <c r="H996">
        <v>67361.2</v>
      </c>
      <c r="I996" t="s">
        <v>56</v>
      </c>
    </row>
    <row r="997" spans="1:9" x14ac:dyDescent="0.2">
      <c r="A997" t="s">
        <v>25</v>
      </c>
      <c r="B997" t="s">
        <v>10</v>
      </c>
      <c r="C997" s="3">
        <v>42930</v>
      </c>
      <c r="D997" s="3">
        <v>42930</v>
      </c>
      <c r="E997" s="3">
        <v>42960</v>
      </c>
      <c r="F997" s="3"/>
      <c r="G997">
        <v>3395</v>
      </c>
      <c r="H997">
        <v>3938.2</v>
      </c>
      <c r="I997" t="s">
        <v>56</v>
      </c>
    </row>
    <row r="998" spans="1:9" x14ac:dyDescent="0.2">
      <c r="A998" t="s">
        <v>13</v>
      </c>
      <c r="B998" t="s">
        <v>10</v>
      </c>
      <c r="C998" s="3">
        <v>42930</v>
      </c>
      <c r="D998" s="3">
        <v>42930</v>
      </c>
      <c r="E998" s="3">
        <v>42960</v>
      </c>
      <c r="F998" s="3"/>
      <c r="G998">
        <v>17689</v>
      </c>
      <c r="H998">
        <v>20519.2</v>
      </c>
      <c r="I998" t="s">
        <v>56</v>
      </c>
    </row>
    <row r="999" spans="1:9" x14ac:dyDescent="0.2">
      <c r="A999" t="s">
        <v>18</v>
      </c>
      <c r="B999" t="s">
        <v>10</v>
      </c>
      <c r="C999" s="3">
        <v>42930</v>
      </c>
      <c r="D999" s="3">
        <v>42930</v>
      </c>
      <c r="E999" s="3">
        <v>42960</v>
      </c>
      <c r="F999" s="3"/>
      <c r="G999">
        <v>22577</v>
      </c>
      <c r="H999">
        <v>26189.3</v>
      </c>
      <c r="I999" t="s">
        <v>56</v>
      </c>
    </row>
    <row r="1000" spans="1:9" x14ac:dyDescent="0.2">
      <c r="A1000" t="s">
        <v>18</v>
      </c>
      <c r="B1000" t="s">
        <v>10</v>
      </c>
      <c r="C1000" s="3">
        <v>42930</v>
      </c>
      <c r="D1000" s="3">
        <v>42930</v>
      </c>
      <c r="E1000" s="3">
        <v>42960</v>
      </c>
      <c r="F1000" s="3"/>
      <c r="G1000">
        <v>3190</v>
      </c>
      <c r="H1000">
        <v>3700.4</v>
      </c>
      <c r="I1000" t="s">
        <v>56</v>
      </c>
    </row>
    <row r="1001" spans="1:9" x14ac:dyDescent="0.2">
      <c r="A1001" t="s">
        <v>13</v>
      </c>
      <c r="B1001" t="s">
        <v>10</v>
      </c>
      <c r="C1001" s="3">
        <v>42928</v>
      </c>
      <c r="D1001" s="3">
        <v>42928</v>
      </c>
      <c r="E1001" s="3">
        <v>42958</v>
      </c>
      <c r="F1001" s="3"/>
      <c r="G1001">
        <v>2460</v>
      </c>
      <c r="H1001">
        <v>2853.6</v>
      </c>
      <c r="I1001" t="s">
        <v>56</v>
      </c>
    </row>
    <row r="1002" spans="1:9" x14ac:dyDescent="0.2">
      <c r="A1002" t="s">
        <v>13</v>
      </c>
      <c r="B1002" t="s">
        <v>10</v>
      </c>
      <c r="C1002" s="3">
        <v>42928</v>
      </c>
      <c r="D1002" s="3">
        <v>42928</v>
      </c>
      <c r="E1002" s="3">
        <v>42958</v>
      </c>
      <c r="F1002" s="3"/>
      <c r="G1002">
        <v>2755</v>
      </c>
      <c r="H1002">
        <v>3195.8</v>
      </c>
      <c r="I1002" t="s">
        <v>56</v>
      </c>
    </row>
    <row r="1003" spans="1:9" x14ac:dyDescent="0.2">
      <c r="A1003" t="s">
        <v>52</v>
      </c>
      <c r="B1003" t="s">
        <v>10</v>
      </c>
      <c r="C1003" s="3">
        <v>42927</v>
      </c>
      <c r="D1003" s="3">
        <v>42926</v>
      </c>
      <c r="E1003" s="3">
        <v>42934</v>
      </c>
      <c r="F1003" s="3"/>
      <c r="G1003">
        <v>1442</v>
      </c>
      <c r="H1003">
        <v>1672.72</v>
      </c>
      <c r="I1003" t="s">
        <v>60</v>
      </c>
    </row>
    <row r="1004" spans="1:9" x14ac:dyDescent="0.2">
      <c r="A1004" t="s">
        <v>41</v>
      </c>
      <c r="B1004" t="s">
        <v>10</v>
      </c>
      <c r="C1004" s="3">
        <v>42926</v>
      </c>
      <c r="D1004" s="3">
        <v>42926</v>
      </c>
      <c r="E1004" s="3">
        <v>42934</v>
      </c>
      <c r="F1004" s="3"/>
      <c r="G1004">
        <v>45804.5</v>
      </c>
      <c r="H1004">
        <v>53133.3</v>
      </c>
      <c r="I1004" t="s">
        <v>56</v>
      </c>
    </row>
    <row r="1005" spans="1:9" x14ac:dyDescent="0.2">
      <c r="A1005" t="s">
        <v>26</v>
      </c>
      <c r="B1005" t="s">
        <v>10</v>
      </c>
      <c r="C1005" s="3">
        <v>42926</v>
      </c>
      <c r="D1005" s="3">
        <v>42926</v>
      </c>
      <c r="E1005" s="3">
        <v>42933</v>
      </c>
      <c r="F1005" s="3"/>
      <c r="G1005">
        <v>699</v>
      </c>
      <c r="H1005">
        <v>810.84</v>
      </c>
      <c r="I1005" t="s">
        <v>56</v>
      </c>
    </row>
    <row r="1006" spans="1:9" x14ac:dyDescent="0.2">
      <c r="A1006" t="s">
        <v>54</v>
      </c>
      <c r="B1006" t="s">
        <v>10</v>
      </c>
      <c r="C1006" s="3">
        <v>42923</v>
      </c>
      <c r="D1006" s="3">
        <v>42923</v>
      </c>
      <c r="E1006" s="3">
        <v>42923</v>
      </c>
      <c r="F1006" s="3"/>
      <c r="G1006">
        <v>1211.76</v>
      </c>
      <c r="H1006">
        <v>1405.64</v>
      </c>
      <c r="I1006" t="s">
        <v>56</v>
      </c>
    </row>
    <row r="1007" spans="1:9" x14ac:dyDescent="0.2">
      <c r="A1007" t="s">
        <v>61</v>
      </c>
      <c r="B1007" t="s">
        <v>10</v>
      </c>
      <c r="C1007" s="3">
        <v>42922</v>
      </c>
      <c r="D1007" s="3">
        <v>42922</v>
      </c>
      <c r="E1007" s="3">
        <v>42952</v>
      </c>
      <c r="F1007" s="3"/>
      <c r="G1007">
        <v>14928</v>
      </c>
      <c r="H1007">
        <v>17316.400000000001</v>
      </c>
      <c r="I1007" t="s">
        <v>56</v>
      </c>
    </row>
    <row r="1008" spans="1:9" x14ac:dyDescent="0.2">
      <c r="A1008" t="s">
        <v>41</v>
      </c>
      <c r="B1008" t="s">
        <v>10</v>
      </c>
      <c r="C1008" s="3">
        <v>42922</v>
      </c>
      <c r="D1008" s="3">
        <v>42922</v>
      </c>
      <c r="E1008" s="3">
        <v>42930</v>
      </c>
      <c r="F1008" s="3"/>
      <c r="G1008">
        <v>8413.1299999999992</v>
      </c>
      <c r="H1008">
        <v>9759.2000000000007</v>
      </c>
      <c r="I1008" t="s">
        <v>56</v>
      </c>
    </row>
    <row r="1009" spans="1:9" x14ac:dyDescent="0.2">
      <c r="A1009" t="s">
        <v>41</v>
      </c>
      <c r="B1009" t="s">
        <v>10</v>
      </c>
      <c r="C1009" s="3">
        <v>42922</v>
      </c>
      <c r="D1009" s="3">
        <v>42922</v>
      </c>
      <c r="E1009" s="3">
        <v>42930</v>
      </c>
      <c r="F1009" s="3"/>
      <c r="G1009">
        <v>43245.3</v>
      </c>
      <c r="H1009">
        <v>50164.6</v>
      </c>
      <c r="I1009" t="s">
        <v>56</v>
      </c>
    </row>
    <row r="1010" spans="1:9" x14ac:dyDescent="0.2">
      <c r="A1010" t="s">
        <v>41</v>
      </c>
      <c r="B1010" t="s">
        <v>10</v>
      </c>
      <c r="C1010" s="3">
        <v>42922</v>
      </c>
      <c r="D1010" s="3">
        <v>42922</v>
      </c>
      <c r="E1010" s="3">
        <v>42930</v>
      </c>
      <c r="F1010" s="3"/>
      <c r="G1010">
        <v>48727.9</v>
      </c>
      <c r="H1010">
        <v>56524.4</v>
      </c>
      <c r="I1010" t="s">
        <v>56</v>
      </c>
    </row>
    <row r="1011" spans="1:9" x14ac:dyDescent="0.2">
      <c r="A1011" t="s">
        <v>41</v>
      </c>
      <c r="B1011" t="s">
        <v>10</v>
      </c>
      <c r="C1011" s="3">
        <v>42922</v>
      </c>
      <c r="D1011" s="3">
        <v>42922</v>
      </c>
      <c r="E1011" s="3">
        <v>42930</v>
      </c>
      <c r="F1011" s="3"/>
      <c r="G1011">
        <v>53570.2</v>
      </c>
      <c r="H1011">
        <v>62141.5</v>
      </c>
      <c r="I1011" t="s">
        <v>56</v>
      </c>
    </row>
    <row r="1012" spans="1:9" x14ac:dyDescent="0.2">
      <c r="A1012" t="s">
        <v>20</v>
      </c>
      <c r="B1012" t="s">
        <v>10</v>
      </c>
      <c r="C1012" s="3">
        <v>42921</v>
      </c>
      <c r="D1012" s="3">
        <v>42921</v>
      </c>
      <c r="E1012" s="3">
        <v>42966</v>
      </c>
      <c r="F1012" s="3"/>
      <c r="G1012">
        <v>28200</v>
      </c>
      <c r="H1012">
        <v>32712</v>
      </c>
      <c r="I1012" t="s">
        <v>56</v>
      </c>
    </row>
    <row r="1013" spans="1:9" x14ac:dyDescent="0.2">
      <c r="A1013" t="s">
        <v>41</v>
      </c>
      <c r="B1013" t="s">
        <v>10</v>
      </c>
      <c r="C1013" s="3">
        <v>42914</v>
      </c>
      <c r="D1013" s="3">
        <v>42914</v>
      </c>
      <c r="E1013" s="3">
        <v>42922</v>
      </c>
      <c r="F1013" s="3"/>
      <c r="G1013">
        <v>48534.9</v>
      </c>
      <c r="H1013">
        <v>56300.5</v>
      </c>
      <c r="I1013" t="s">
        <v>56</v>
      </c>
    </row>
    <row r="1014" spans="1:9" x14ac:dyDescent="0.2">
      <c r="A1014" t="s">
        <v>18</v>
      </c>
      <c r="B1014" t="s">
        <v>10</v>
      </c>
      <c r="C1014" s="3">
        <v>42914</v>
      </c>
      <c r="D1014" s="3">
        <v>42914</v>
      </c>
      <c r="E1014" s="3">
        <v>42944</v>
      </c>
      <c r="F1014" s="3"/>
      <c r="G1014">
        <v>3040</v>
      </c>
      <c r="H1014">
        <v>3526.4</v>
      </c>
      <c r="I1014" t="s">
        <v>56</v>
      </c>
    </row>
    <row r="1015" spans="1:9" x14ac:dyDescent="0.2">
      <c r="A1015" t="s">
        <v>41</v>
      </c>
      <c r="B1015" t="s">
        <v>10</v>
      </c>
      <c r="C1015" s="3">
        <v>42913</v>
      </c>
      <c r="D1015" s="3">
        <v>42913</v>
      </c>
      <c r="E1015" s="3">
        <v>42921</v>
      </c>
      <c r="F1015" s="3"/>
      <c r="G1015">
        <v>2415.06</v>
      </c>
      <c r="H1015">
        <v>2801.52</v>
      </c>
      <c r="I1015" t="s">
        <v>56</v>
      </c>
    </row>
    <row r="1016" spans="1:9" x14ac:dyDescent="0.2">
      <c r="A1016" t="s">
        <v>41</v>
      </c>
      <c r="B1016" t="s">
        <v>10</v>
      </c>
      <c r="C1016" s="3">
        <v>42913</v>
      </c>
      <c r="D1016" s="3">
        <v>42913</v>
      </c>
      <c r="E1016" s="3">
        <v>42921</v>
      </c>
      <c r="F1016" s="3"/>
      <c r="G1016">
        <v>20070.5</v>
      </c>
      <c r="H1016">
        <v>23281.9</v>
      </c>
      <c r="I1016" t="s">
        <v>56</v>
      </c>
    </row>
    <row r="1017" spans="1:9" x14ac:dyDescent="0.2">
      <c r="A1017" t="s">
        <v>41</v>
      </c>
      <c r="B1017" t="s">
        <v>10</v>
      </c>
      <c r="C1017" s="3">
        <v>42912</v>
      </c>
      <c r="D1017" s="3">
        <v>42912</v>
      </c>
      <c r="E1017" s="3">
        <v>42920</v>
      </c>
      <c r="F1017" s="3"/>
      <c r="G1017">
        <v>14439.6</v>
      </c>
      <c r="H1017">
        <v>16749.900000000001</v>
      </c>
      <c r="I1017" t="s">
        <v>56</v>
      </c>
    </row>
    <row r="1018" spans="1:9" x14ac:dyDescent="0.2">
      <c r="A1018" t="s">
        <v>25</v>
      </c>
      <c r="B1018" t="s">
        <v>10</v>
      </c>
      <c r="C1018" s="3">
        <v>42912</v>
      </c>
      <c r="D1018" s="3">
        <v>42912</v>
      </c>
      <c r="E1018" s="3">
        <v>42942</v>
      </c>
      <c r="F1018" s="3"/>
      <c r="G1018">
        <v>12492</v>
      </c>
      <c r="H1018">
        <v>14490.7</v>
      </c>
      <c r="I1018" t="s">
        <v>56</v>
      </c>
    </row>
    <row r="1019" spans="1:9" x14ac:dyDescent="0.2">
      <c r="A1019" t="s">
        <v>59</v>
      </c>
      <c r="B1019" t="s">
        <v>10</v>
      </c>
      <c r="C1019" s="3">
        <v>42912</v>
      </c>
      <c r="D1019" s="3">
        <v>42912</v>
      </c>
      <c r="E1019" s="3">
        <v>42927</v>
      </c>
      <c r="F1019" s="3"/>
      <c r="G1019">
        <v>2950</v>
      </c>
      <c r="H1019">
        <v>3422</v>
      </c>
      <c r="I1019" t="s">
        <v>56</v>
      </c>
    </row>
    <row r="1020" spans="1:9" x14ac:dyDescent="0.2">
      <c r="A1020" t="s">
        <v>26</v>
      </c>
      <c r="B1020" t="s">
        <v>10</v>
      </c>
      <c r="C1020" s="3">
        <v>42909</v>
      </c>
      <c r="D1020" s="3">
        <v>42909</v>
      </c>
      <c r="E1020" s="3">
        <v>42916</v>
      </c>
      <c r="F1020" s="3"/>
      <c r="G1020">
        <v>249227</v>
      </c>
      <c r="H1020">
        <v>289103</v>
      </c>
      <c r="I1020" t="s">
        <v>56</v>
      </c>
    </row>
    <row r="1021" spans="1:9" x14ac:dyDescent="0.2">
      <c r="A1021" t="s">
        <v>18</v>
      </c>
      <c r="B1021" t="s">
        <v>10</v>
      </c>
      <c r="C1021" s="3">
        <v>42907</v>
      </c>
      <c r="D1021" s="3">
        <v>42907</v>
      </c>
      <c r="E1021" s="3">
        <v>42937</v>
      </c>
      <c r="F1021" s="3"/>
      <c r="G1021">
        <v>4840</v>
      </c>
      <c r="H1021">
        <v>5614.4</v>
      </c>
      <c r="I1021" t="s">
        <v>56</v>
      </c>
    </row>
    <row r="1022" spans="1:9" x14ac:dyDescent="0.2">
      <c r="A1022" t="s">
        <v>25</v>
      </c>
      <c r="B1022" t="s">
        <v>10</v>
      </c>
      <c r="C1022" s="3">
        <v>42902</v>
      </c>
      <c r="D1022" s="3">
        <v>42902</v>
      </c>
      <c r="E1022" s="3">
        <v>42932</v>
      </c>
      <c r="F1022" s="3"/>
      <c r="G1022">
        <v>456</v>
      </c>
      <c r="H1022">
        <v>528.96</v>
      </c>
      <c r="I1022" t="s">
        <v>56</v>
      </c>
    </row>
    <row r="1023" spans="1:9" x14ac:dyDescent="0.2">
      <c r="A1023" t="s">
        <v>54</v>
      </c>
      <c r="B1023" t="s">
        <v>10</v>
      </c>
      <c r="C1023" s="3">
        <v>42901</v>
      </c>
      <c r="D1023" s="3">
        <v>42901</v>
      </c>
      <c r="E1023" s="3">
        <v>42901</v>
      </c>
      <c r="F1023" s="3"/>
      <c r="G1023">
        <v>4336.8</v>
      </c>
      <c r="H1023">
        <v>5030.6899999999996</v>
      </c>
      <c r="I1023" t="s">
        <v>56</v>
      </c>
    </row>
    <row r="1024" spans="1:9" x14ac:dyDescent="0.2">
      <c r="A1024" t="s">
        <v>25</v>
      </c>
      <c r="B1024" t="s">
        <v>10</v>
      </c>
      <c r="C1024" s="3">
        <v>42901</v>
      </c>
      <c r="D1024" s="3">
        <v>42901</v>
      </c>
      <c r="E1024" s="3">
        <v>42931</v>
      </c>
      <c r="F1024" s="3"/>
      <c r="G1024">
        <v>10410</v>
      </c>
      <c r="H1024">
        <v>12075.6</v>
      </c>
      <c r="I1024" t="s">
        <v>56</v>
      </c>
    </row>
    <row r="1025" spans="1:9" x14ac:dyDescent="0.2">
      <c r="A1025" t="s">
        <v>41</v>
      </c>
      <c r="B1025" t="s">
        <v>10</v>
      </c>
      <c r="C1025" s="3">
        <v>42901</v>
      </c>
      <c r="D1025" s="3">
        <v>42900</v>
      </c>
      <c r="E1025" s="3">
        <v>42909</v>
      </c>
      <c r="F1025" s="3"/>
      <c r="G1025">
        <v>53187.6</v>
      </c>
      <c r="H1025">
        <v>61697.599999999999</v>
      </c>
      <c r="I1025" t="s">
        <v>56</v>
      </c>
    </row>
    <row r="1026" spans="1:9" x14ac:dyDescent="0.2">
      <c r="A1026" t="s">
        <v>18</v>
      </c>
      <c r="B1026" t="s">
        <v>10</v>
      </c>
      <c r="C1026" s="3">
        <v>42899</v>
      </c>
      <c r="D1026" s="3">
        <v>42899</v>
      </c>
      <c r="E1026" s="3">
        <v>42929</v>
      </c>
      <c r="F1026" s="3"/>
      <c r="G1026">
        <v>19655</v>
      </c>
      <c r="H1026">
        <v>22799.8</v>
      </c>
      <c r="I1026" t="s">
        <v>56</v>
      </c>
    </row>
    <row r="1027" spans="1:9" x14ac:dyDescent="0.2">
      <c r="A1027" t="s">
        <v>41</v>
      </c>
      <c r="B1027" t="s">
        <v>10</v>
      </c>
      <c r="C1027" s="3">
        <v>42899</v>
      </c>
      <c r="D1027" s="3">
        <v>42899</v>
      </c>
      <c r="E1027" s="3">
        <v>42907</v>
      </c>
      <c r="F1027" s="3"/>
      <c r="G1027">
        <v>9276.9</v>
      </c>
      <c r="H1027">
        <v>10761.2</v>
      </c>
      <c r="I1027" t="s">
        <v>56</v>
      </c>
    </row>
    <row r="1028" spans="1:9" x14ac:dyDescent="0.2">
      <c r="A1028" t="s">
        <v>41</v>
      </c>
      <c r="B1028" t="s">
        <v>10</v>
      </c>
      <c r="C1028" s="3">
        <v>42899</v>
      </c>
      <c r="D1028" s="3">
        <v>42899</v>
      </c>
      <c r="E1028" s="3">
        <v>42907</v>
      </c>
      <c r="F1028" s="3"/>
      <c r="G1028">
        <v>36297</v>
      </c>
      <c r="H1028">
        <v>42104.5</v>
      </c>
      <c r="I1028" t="s">
        <v>56</v>
      </c>
    </row>
    <row r="1029" spans="1:9" x14ac:dyDescent="0.2">
      <c r="A1029" t="s">
        <v>41</v>
      </c>
      <c r="B1029" t="s">
        <v>10</v>
      </c>
      <c r="C1029" s="3">
        <v>42898</v>
      </c>
      <c r="D1029" s="3">
        <v>42898</v>
      </c>
      <c r="E1029" s="3">
        <v>42906</v>
      </c>
      <c r="F1029" s="3"/>
      <c r="G1029">
        <v>7104.65</v>
      </c>
      <c r="H1029">
        <v>8241.34</v>
      </c>
      <c r="I1029" t="s">
        <v>56</v>
      </c>
    </row>
    <row r="1030" spans="1:9" x14ac:dyDescent="0.2">
      <c r="A1030" t="s">
        <v>41</v>
      </c>
      <c r="B1030" t="s">
        <v>10</v>
      </c>
      <c r="C1030" s="3">
        <v>42898</v>
      </c>
      <c r="D1030" s="3">
        <v>42898</v>
      </c>
      <c r="E1030" s="3">
        <v>42906</v>
      </c>
      <c r="F1030" s="3"/>
      <c r="G1030">
        <v>11493.3</v>
      </c>
      <c r="H1030">
        <v>13332.3</v>
      </c>
      <c r="I1030" t="s">
        <v>56</v>
      </c>
    </row>
    <row r="1031" spans="1:9" x14ac:dyDescent="0.2">
      <c r="A1031" t="s">
        <v>41</v>
      </c>
      <c r="B1031" t="s">
        <v>10</v>
      </c>
      <c r="C1031" s="3">
        <v>42895</v>
      </c>
      <c r="D1031" s="3">
        <v>42895</v>
      </c>
      <c r="E1031" s="3">
        <v>42903</v>
      </c>
      <c r="F1031" s="3"/>
      <c r="G1031">
        <v>7032.4</v>
      </c>
      <c r="H1031">
        <v>8157.56</v>
      </c>
      <c r="I1031" t="s">
        <v>56</v>
      </c>
    </row>
    <row r="1032" spans="1:9" x14ac:dyDescent="0.2">
      <c r="A1032" t="s">
        <v>25</v>
      </c>
      <c r="B1032" t="s">
        <v>10</v>
      </c>
      <c r="C1032" s="3">
        <v>42895</v>
      </c>
      <c r="D1032" s="3">
        <v>42895</v>
      </c>
      <c r="E1032" s="3">
        <v>42925</v>
      </c>
      <c r="F1032" s="3"/>
      <c r="G1032">
        <v>3605</v>
      </c>
      <c r="H1032">
        <v>4181.8</v>
      </c>
      <c r="I1032" t="s">
        <v>56</v>
      </c>
    </row>
    <row r="1033" spans="1:9" x14ac:dyDescent="0.2">
      <c r="A1033" t="s">
        <v>18</v>
      </c>
      <c r="B1033" t="s">
        <v>10</v>
      </c>
      <c r="C1033" s="3">
        <v>42894</v>
      </c>
      <c r="D1033" s="3">
        <v>42894</v>
      </c>
      <c r="E1033" s="3">
        <v>42924</v>
      </c>
      <c r="F1033" s="3"/>
      <c r="G1033">
        <v>4790</v>
      </c>
      <c r="H1033">
        <v>5556.4</v>
      </c>
      <c r="I1033" t="s">
        <v>56</v>
      </c>
    </row>
    <row r="1034" spans="1:9" x14ac:dyDescent="0.2">
      <c r="A1034" t="s">
        <v>41</v>
      </c>
      <c r="B1034" t="s">
        <v>10</v>
      </c>
      <c r="C1034" s="3">
        <v>42893</v>
      </c>
      <c r="D1034" s="3">
        <v>42893</v>
      </c>
      <c r="E1034" s="3">
        <v>42901</v>
      </c>
      <c r="F1034" s="3"/>
      <c r="G1034">
        <v>8271</v>
      </c>
      <c r="H1034">
        <v>9594.36</v>
      </c>
      <c r="I1034" t="s">
        <v>56</v>
      </c>
    </row>
    <row r="1035" spans="1:9" x14ac:dyDescent="0.2">
      <c r="A1035" t="s">
        <v>18</v>
      </c>
      <c r="B1035" t="s">
        <v>10</v>
      </c>
      <c r="C1035" s="3">
        <v>42892</v>
      </c>
      <c r="D1035" s="3">
        <v>42892</v>
      </c>
      <c r="E1035" s="3">
        <v>42922</v>
      </c>
      <c r="F1035" s="3"/>
      <c r="G1035">
        <v>3730</v>
      </c>
      <c r="H1035">
        <v>4326.8</v>
      </c>
      <c r="I1035" t="s">
        <v>56</v>
      </c>
    </row>
    <row r="1036" spans="1:9" x14ac:dyDescent="0.2">
      <c r="A1036" t="s">
        <v>26</v>
      </c>
      <c r="B1036" t="s">
        <v>10</v>
      </c>
      <c r="C1036" s="3">
        <v>42891</v>
      </c>
      <c r="D1036" s="3">
        <v>42891</v>
      </c>
      <c r="E1036" s="3">
        <v>42898</v>
      </c>
      <c r="F1036" s="3"/>
      <c r="G1036">
        <v>11613</v>
      </c>
      <c r="H1036">
        <v>13471</v>
      </c>
      <c r="I1036" t="s">
        <v>56</v>
      </c>
    </row>
    <row r="1037" spans="1:9" x14ac:dyDescent="0.2">
      <c r="A1037" t="s">
        <v>54</v>
      </c>
      <c r="B1037" t="s">
        <v>10</v>
      </c>
      <c r="C1037" s="3">
        <v>42891</v>
      </c>
      <c r="D1037" s="3">
        <v>42891</v>
      </c>
      <c r="E1037" s="3">
        <v>42891</v>
      </c>
      <c r="F1037" s="3"/>
      <c r="G1037">
        <v>1487.2</v>
      </c>
      <c r="H1037">
        <v>1725.15</v>
      </c>
      <c r="I1037" t="s">
        <v>56</v>
      </c>
    </row>
    <row r="1038" spans="1:9" x14ac:dyDescent="0.2">
      <c r="A1038" t="s">
        <v>41</v>
      </c>
      <c r="B1038" t="s">
        <v>10</v>
      </c>
      <c r="C1038" s="3">
        <v>42888</v>
      </c>
      <c r="D1038" s="3">
        <v>42888</v>
      </c>
      <c r="E1038" s="3">
        <v>42896</v>
      </c>
      <c r="F1038" s="3"/>
      <c r="G1038">
        <v>3588.48</v>
      </c>
      <c r="H1038">
        <v>4162.6400000000003</v>
      </c>
      <c r="I1038" t="s">
        <v>56</v>
      </c>
    </row>
    <row r="1039" spans="1:9" x14ac:dyDescent="0.2">
      <c r="A1039" t="s">
        <v>41</v>
      </c>
      <c r="B1039" t="s">
        <v>10</v>
      </c>
      <c r="C1039" s="3">
        <v>42888</v>
      </c>
      <c r="D1039" s="3">
        <v>42888</v>
      </c>
      <c r="E1039" s="3">
        <v>42896</v>
      </c>
      <c r="F1039" s="3"/>
      <c r="G1039">
        <v>32179.5</v>
      </c>
      <c r="H1039">
        <v>37328.199999999997</v>
      </c>
      <c r="I1039" t="s">
        <v>56</v>
      </c>
    </row>
    <row r="1040" spans="1:9" x14ac:dyDescent="0.2">
      <c r="A1040" t="s">
        <v>20</v>
      </c>
      <c r="B1040" t="s">
        <v>10</v>
      </c>
      <c r="C1040" s="3">
        <v>42887</v>
      </c>
      <c r="D1040" s="3">
        <v>42887</v>
      </c>
      <c r="E1040" s="3">
        <v>42932</v>
      </c>
      <c r="F1040" s="3"/>
      <c r="G1040">
        <v>33036</v>
      </c>
      <c r="H1040">
        <v>38321.699999999997</v>
      </c>
      <c r="I1040" t="s">
        <v>56</v>
      </c>
    </row>
    <row r="1041" spans="1:9" x14ac:dyDescent="0.2">
      <c r="A1041" t="s">
        <v>53</v>
      </c>
      <c r="B1041" t="s">
        <v>10</v>
      </c>
      <c r="C1041" s="3">
        <v>42886</v>
      </c>
      <c r="D1041" s="3">
        <v>42886</v>
      </c>
      <c r="E1041" s="3">
        <v>42916</v>
      </c>
      <c r="F1041" s="3"/>
      <c r="G1041">
        <v>4980</v>
      </c>
      <c r="H1041">
        <v>5776.8</v>
      </c>
      <c r="I1041" t="s">
        <v>56</v>
      </c>
    </row>
    <row r="1042" spans="1:9" x14ac:dyDescent="0.2">
      <c r="A1042" t="s">
        <v>13</v>
      </c>
      <c r="B1042" t="s">
        <v>10</v>
      </c>
      <c r="C1042" s="3">
        <v>42886</v>
      </c>
      <c r="D1042" s="3">
        <v>42886</v>
      </c>
      <c r="E1042" s="3">
        <v>42916</v>
      </c>
      <c r="F1042" s="3"/>
      <c r="G1042">
        <v>3300</v>
      </c>
      <c r="H1042">
        <v>3828</v>
      </c>
      <c r="I1042" t="s">
        <v>56</v>
      </c>
    </row>
    <row r="1043" spans="1:9" x14ac:dyDescent="0.2">
      <c r="A1043" t="s">
        <v>13</v>
      </c>
      <c r="B1043" t="s">
        <v>10</v>
      </c>
      <c r="C1043" s="3">
        <v>42886</v>
      </c>
      <c r="D1043" s="3">
        <v>42886</v>
      </c>
      <c r="E1043" s="3">
        <v>42916</v>
      </c>
      <c r="F1043" s="3"/>
      <c r="G1043">
        <v>5420</v>
      </c>
      <c r="H1043">
        <v>6287.2</v>
      </c>
      <c r="I1043" t="s">
        <v>56</v>
      </c>
    </row>
    <row r="1044" spans="1:9" x14ac:dyDescent="0.2">
      <c r="A1044" t="s">
        <v>44</v>
      </c>
      <c r="B1044" t="s">
        <v>10</v>
      </c>
      <c r="C1044" s="3">
        <v>42885</v>
      </c>
      <c r="D1044" s="3">
        <v>42885</v>
      </c>
      <c r="E1044" s="3">
        <v>42892</v>
      </c>
      <c r="F1044" s="3"/>
      <c r="G1044">
        <v>23358.7</v>
      </c>
      <c r="H1044">
        <v>27096.1</v>
      </c>
      <c r="I1044" t="s">
        <v>62</v>
      </c>
    </row>
    <row r="1045" spans="1:9" x14ac:dyDescent="0.2">
      <c r="A1045" t="s">
        <v>41</v>
      </c>
      <c r="B1045" t="s">
        <v>10</v>
      </c>
      <c r="C1045" s="3">
        <v>42881</v>
      </c>
      <c r="D1045" s="3">
        <v>42881</v>
      </c>
      <c r="E1045" s="3">
        <v>42889</v>
      </c>
      <c r="F1045" s="3"/>
      <c r="G1045">
        <v>3725.88</v>
      </c>
      <c r="H1045">
        <v>4321.9799999999996</v>
      </c>
      <c r="I1045" t="s">
        <v>56</v>
      </c>
    </row>
    <row r="1046" spans="1:9" x14ac:dyDescent="0.2">
      <c r="A1046" t="s">
        <v>22</v>
      </c>
      <c r="B1046" t="s">
        <v>10</v>
      </c>
      <c r="C1046" s="3">
        <v>42881</v>
      </c>
      <c r="D1046" s="3">
        <v>42881</v>
      </c>
      <c r="E1046" s="3">
        <v>42941</v>
      </c>
      <c r="F1046" s="3"/>
      <c r="G1046">
        <v>21306.6</v>
      </c>
      <c r="H1046">
        <v>24715.599999999999</v>
      </c>
      <c r="I1046" t="s">
        <v>56</v>
      </c>
    </row>
    <row r="1047" spans="1:9" x14ac:dyDescent="0.2">
      <c r="A1047" t="s">
        <v>18</v>
      </c>
      <c r="B1047" t="s">
        <v>10</v>
      </c>
      <c r="C1047" s="3">
        <v>42880</v>
      </c>
      <c r="D1047" s="3">
        <v>42880</v>
      </c>
      <c r="E1047" s="3">
        <v>42910</v>
      </c>
      <c r="F1047" s="3"/>
      <c r="G1047">
        <v>15080</v>
      </c>
      <c r="H1047">
        <v>17492.8</v>
      </c>
      <c r="I1047" t="s">
        <v>56</v>
      </c>
    </row>
    <row r="1048" spans="1:9" x14ac:dyDescent="0.2">
      <c r="A1048" t="s">
        <v>18</v>
      </c>
      <c r="B1048" t="s">
        <v>10</v>
      </c>
      <c r="C1048" s="3">
        <v>42880</v>
      </c>
      <c r="D1048" s="3">
        <v>42880</v>
      </c>
      <c r="E1048" s="3">
        <v>42910</v>
      </c>
      <c r="F1048" s="3"/>
      <c r="G1048">
        <v>38624</v>
      </c>
      <c r="H1048">
        <v>44803.8</v>
      </c>
      <c r="I1048" t="s">
        <v>56</v>
      </c>
    </row>
    <row r="1049" spans="1:9" x14ac:dyDescent="0.2">
      <c r="A1049" t="s">
        <v>22</v>
      </c>
      <c r="B1049" t="s">
        <v>10</v>
      </c>
      <c r="C1049" s="3">
        <v>42878</v>
      </c>
      <c r="D1049" s="3">
        <v>42878</v>
      </c>
      <c r="E1049" s="3">
        <v>42938</v>
      </c>
      <c r="F1049" s="3"/>
      <c r="G1049">
        <v>320</v>
      </c>
      <c r="H1049">
        <v>371.2</v>
      </c>
      <c r="I1049" t="s">
        <v>56</v>
      </c>
    </row>
    <row r="1050" spans="1:9" x14ac:dyDescent="0.2">
      <c r="A1050" t="s">
        <v>22</v>
      </c>
      <c r="B1050" t="s">
        <v>10</v>
      </c>
      <c r="C1050" s="3">
        <v>42878</v>
      </c>
      <c r="D1050" s="3">
        <v>42878</v>
      </c>
      <c r="E1050" s="3">
        <v>42938</v>
      </c>
      <c r="F1050" s="3"/>
      <c r="G1050">
        <v>85226.4</v>
      </c>
      <c r="H1050">
        <v>98862.6</v>
      </c>
      <c r="I1050" t="s">
        <v>56</v>
      </c>
    </row>
    <row r="1051" spans="1:9" x14ac:dyDescent="0.2">
      <c r="A1051" t="s">
        <v>22</v>
      </c>
      <c r="B1051" t="s">
        <v>10</v>
      </c>
      <c r="C1051" s="3">
        <v>42878</v>
      </c>
      <c r="D1051" s="3">
        <v>42878</v>
      </c>
      <c r="E1051" s="3">
        <v>42938</v>
      </c>
      <c r="F1051" s="3"/>
      <c r="G1051">
        <v>1200</v>
      </c>
      <c r="H1051">
        <v>1392</v>
      </c>
      <c r="I1051" t="s">
        <v>56</v>
      </c>
    </row>
    <row r="1052" spans="1:9" x14ac:dyDescent="0.2">
      <c r="A1052" t="s">
        <v>63</v>
      </c>
      <c r="B1052" t="s">
        <v>10</v>
      </c>
      <c r="C1052" s="3">
        <v>42878</v>
      </c>
      <c r="D1052" s="3">
        <v>42878</v>
      </c>
      <c r="E1052" s="3">
        <v>42885</v>
      </c>
      <c r="F1052" s="3"/>
      <c r="G1052">
        <v>24297</v>
      </c>
      <c r="H1052">
        <v>28184.5</v>
      </c>
      <c r="I1052" t="s">
        <v>56</v>
      </c>
    </row>
    <row r="1053" spans="1:9" x14ac:dyDescent="0.2">
      <c r="A1053" t="s">
        <v>25</v>
      </c>
      <c r="B1053" t="s">
        <v>10</v>
      </c>
      <c r="C1053" s="3">
        <v>42877</v>
      </c>
      <c r="D1053" s="3">
        <v>42877</v>
      </c>
      <c r="E1053" s="3">
        <v>42907</v>
      </c>
      <c r="F1053" s="3"/>
      <c r="G1053">
        <v>5609</v>
      </c>
      <c r="H1053">
        <v>6506.44</v>
      </c>
      <c r="I1053" t="s">
        <v>56</v>
      </c>
    </row>
    <row r="1054" spans="1:9" x14ac:dyDescent="0.2">
      <c r="A1054" t="s">
        <v>41</v>
      </c>
      <c r="B1054" t="s">
        <v>10</v>
      </c>
      <c r="C1054" s="3">
        <v>42877</v>
      </c>
      <c r="D1054" s="3">
        <v>42877</v>
      </c>
      <c r="E1054" s="3">
        <v>42885</v>
      </c>
      <c r="F1054" s="3"/>
      <c r="G1054">
        <v>26166.1</v>
      </c>
      <c r="H1054">
        <v>30352.7</v>
      </c>
      <c r="I1054" t="s">
        <v>56</v>
      </c>
    </row>
    <row r="1055" spans="1:9" x14ac:dyDescent="0.2">
      <c r="A1055" t="s">
        <v>39</v>
      </c>
      <c r="B1055" t="s">
        <v>10</v>
      </c>
      <c r="C1055" s="3">
        <v>42874</v>
      </c>
      <c r="D1055" s="3">
        <v>42874</v>
      </c>
      <c r="E1055" s="3">
        <v>42882</v>
      </c>
      <c r="F1055" s="3"/>
      <c r="G1055">
        <v>3006.99</v>
      </c>
      <c r="H1055">
        <v>3488.11</v>
      </c>
      <c r="I1055" t="s">
        <v>56</v>
      </c>
    </row>
    <row r="1056" spans="1:9" x14ac:dyDescent="0.2">
      <c r="A1056" t="s">
        <v>41</v>
      </c>
      <c r="B1056" t="s">
        <v>10</v>
      </c>
      <c r="C1056" s="3">
        <v>42872</v>
      </c>
      <c r="D1056" s="3">
        <v>42872</v>
      </c>
      <c r="E1056" s="3">
        <v>42880</v>
      </c>
      <c r="F1056" s="3"/>
      <c r="G1056">
        <v>52220.5</v>
      </c>
      <c r="H1056">
        <v>60575.9</v>
      </c>
      <c r="I1056" t="s">
        <v>56</v>
      </c>
    </row>
    <row r="1057" spans="1:9" x14ac:dyDescent="0.2">
      <c r="A1057" t="s">
        <v>25</v>
      </c>
      <c r="B1057" t="s">
        <v>10</v>
      </c>
      <c r="C1057" s="3">
        <v>42871</v>
      </c>
      <c r="D1057" s="3">
        <v>42871</v>
      </c>
      <c r="E1057" s="3">
        <v>42901</v>
      </c>
      <c r="F1057" s="3"/>
      <c r="G1057">
        <v>10410</v>
      </c>
      <c r="H1057">
        <v>12075.6</v>
      </c>
      <c r="I1057" t="s">
        <v>56</v>
      </c>
    </row>
    <row r="1058" spans="1:9" x14ac:dyDescent="0.2">
      <c r="A1058" t="s">
        <v>41</v>
      </c>
      <c r="B1058" t="s">
        <v>10</v>
      </c>
      <c r="C1058" s="3">
        <v>42871</v>
      </c>
      <c r="D1058" s="3">
        <v>42871</v>
      </c>
      <c r="E1058" s="3">
        <v>42879</v>
      </c>
      <c r="F1058" s="3"/>
      <c r="G1058">
        <v>4783.8</v>
      </c>
      <c r="H1058">
        <v>5549.21</v>
      </c>
      <c r="I1058" t="s">
        <v>56</v>
      </c>
    </row>
    <row r="1059" spans="1:9" x14ac:dyDescent="0.2">
      <c r="A1059" t="s">
        <v>41</v>
      </c>
      <c r="B1059" t="s">
        <v>10</v>
      </c>
      <c r="C1059" s="3">
        <v>42870</v>
      </c>
      <c r="D1059" s="3">
        <v>42870</v>
      </c>
      <c r="E1059" s="3">
        <v>42878</v>
      </c>
      <c r="F1059" s="3"/>
      <c r="G1059">
        <v>9043.2000000000007</v>
      </c>
      <c r="H1059">
        <v>10490.1</v>
      </c>
      <c r="I1059" t="s">
        <v>56</v>
      </c>
    </row>
    <row r="1060" spans="1:9" x14ac:dyDescent="0.2">
      <c r="A1060" t="s">
        <v>41</v>
      </c>
      <c r="B1060" t="s">
        <v>10</v>
      </c>
      <c r="C1060" s="3">
        <v>42870</v>
      </c>
      <c r="D1060" s="3">
        <v>42870</v>
      </c>
      <c r="E1060" s="3">
        <v>42878</v>
      </c>
      <c r="F1060" s="3"/>
      <c r="G1060">
        <v>1113.5999999999999</v>
      </c>
      <c r="H1060">
        <v>1291.78</v>
      </c>
      <c r="I1060" t="s">
        <v>56</v>
      </c>
    </row>
    <row r="1061" spans="1:9" x14ac:dyDescent="0.2">
      <c r="A1061" t="s">
        <v>41</v>
      </c>
      <c r="B1061" t="s">
        <v>10</v>
      </c>
      <c r="C1061" s="3">
        <v>42866</v>
      </c>
      <c r="D1061" s="3">
        <v>42866</v>
      </c>
      <c r="E1061" s="3">
        <v>42874</v>
      </c>
      <c r="F1061" s="3"/>
      <c r="G1061">
        <v>21186.799999999999</v>
      </c>
      <c r="H1061">
        <v>24576.7</v>
      </c>
      <c r="I1061" t="s">
        <v>56</v>
      </c>
    </row>
    <row r="1062" spans="1:9" x14ac:dyDescent="0.2">
      <c r="A1062" t="s">
        <v>13</v>
      </c>
      <c r="B1062" t="s">
        <v>10</v>
      </c>
      <c r="C1062" s="3">
        <v>42865</v>
      </c>
      <c r="D1062" s="3">
        <v>42865</v>
      </c>
      <c r="E1062" s="3">
        <v>42895</v>
      </c>
      <c r="F1062" s="3"/>
      <c r="G1062">
        <v>12838</v>
      </c>
      <c r="H1062">
        <v>14892</v>
      </c>
      <c r="I1062" t="s">
        <v>56</v>
      </c>
    </row>
    <row r="1063" spans="1:9" x14ac:dyDescent="0.2">
      <c r="A1063" t="s">
        <v>41</v>
      </c>
      <c r="B1063" t="s">
        <v>10</v>
      </c>
      <c r="C1063" s="3">
        <v>42864</v>
      </c>
      <c r="D1063" s="3">
        <v>42864</v>
      </c>
      <c r="E1063" s="3">
        <v>42872</v>
      </c>
      <c r="F1063" s="3"/>
      <c r="G1063">
        <v>14217.5</v>
      </c>
      <c r="H1063">
        <v>16492.3</v>
      </c>
      <c r="I1063" t="s">
        <v>56</v>
      </c>
    </row>
    <row r="1064" spans="1:9" x14ac:dyDescent="0.2">
      <c r="A1064" t="s">
        <v>41</v>
      </c>
      <c r="B1064" t="s">
        <v>10</v>
      </c>
      <c r="C1064" s="3">
        <v>42863</v>
      </c>
      <c r="D1064" s="3">
        <v>42863</v>
      </c>
      <c r="E1064" s="3">
        <v>42871</v>
      </c>
      <c r="F1064" s="3"/>
      <c r="G1064">
        <v>7901.08</v>
      </c>
      <c r="H1064">
        <v>9165.19</v>
      </c>
      <c r="I1064" t="s">
        <v>56</v>
      </c>
    </row>
    <row r="1065" spans="1:9" x14ac:dyDescent="0.2">
      <c r="A1065" t="s">
        <v>64</v>
      </c>
      <c r="B1065" t="s">
        <v>10</v>
      </c>
      <c r="C1065" s="3">
        <v>42863</v>
      </c>
      <c r="D1065" s="3">
        <v>42863</v>
      </c>
      <c r="E1065" s="3">
        <v>42878</v>
      </c>
      <c r="F1065" s="3"/>
      <c r="G1065">
        <v>6981</v>
      </c>
      <c r="H1065">
        <v>8097.96</v>
      </c>
      <c r="I1065" t="s">
        <v>56</v>
      </c>
    </row>
    <row r="1066" spans="1:9" x14ac:dyDescent="0.2">
      <c r="A1066" t="s">
        <v>41</v>
      </c>
      <c r="B1066" t="s">
        <v>10</v>
      </c>
      <c r="C1066" s="3">
        <v>42859</v>
      </c>
      <c r="D1066" s="3">
        <v>42859</v>
      </c>
      <c r="E1066" s="3">
        <v>42867</v>
      </c>
      <c r="F1066" s="3"/>
      <c r="G1066">
        <v>2831.83</v>
      </c>
      <c r="H1066">
        <v>3284.94</v>
      </c>
      <c r="I1066" t="s">
        <v>56</v>
      </c>
    </row>
    <row r="1067" spans="1:9" x14ac:dyDescent="0.2">
      <c r="A1067" t="s">
        <v>26</v>
      </c>
      <c r="B1067" t="s">
        <v>10</v>
      </c>
      <c r="C1067" s="3">
        <v>42857</v>
      </c>
      <c r="D1067" s="3">
        <v>42857</v>
      </c>
      <c r="E1067" s="3">
        <v>42864</v>
      </c>
      <c r="F1067" s="3"/>
      <c r="G1067">
        <v>46452</v>
      </c>
      <c r="H1067">
        <v>53884.3</v>
      </c>
      <c r="I1067" t="s">
        <v>56</v>
      </c>
    </row>
    <row r="1068" spans="1:9" x14ac:dyDescent="0.2">
      <c r="A1068" t="s">
        <v>65</v>
      </c>
      <c r="B1068" t="s">
        <v>10</v>
      </c>
      <c r="C1068" s="3">
        <v>42852</v>
      </c>
      <c r="D1068" s="3">
        <v>42852</v>
      </c>
      <c r="E1068" s="3">
        <v>42859</v>
      </c>
      <c r="F1068" s="3"/>
      <c r="G1068">
        <v>2380</v>
      </c>
      <c r="H1068">
        <v>2760.8</v>
      </c>
      <c r="I1068" t="s">
        <v>60</v>
      </c>
    </row>
    <row r="1069" spans="1:9" x14ac:dyDescent="0.2">
      <c r="A1069" t="s">
        <v>53</v>
      </c>
      <c r="B1069" t="s">
        <v>10</v>
      </c>
      <c r="C1069" s="3">
        <v>42852</v>
      </c>
      <c r="D1069" s="3">
        <v>42849</v>
      </c>
      <c r="E1069" s="3">
        <v>42882</v>
      </c>
      <c r="F1069" s="3"/>
      <c r="G1069">
        <v>4900</v>
      </c>
      <c r="H1069">
        <v>5684</v>
      </c>
      <c r="I1069" t="s">
        <v>56</v>
      </c>
    </row>
    <row r="1070" spans="1:9" x14ac:dyDescent="0.2">
      <c r="A1070" t="s">
        <v>18</v>
      </c>
      <c r="B1070" t="s">
        <v>10</v>
      </c>
      <c r="C1070" s="3">
        <v>42849</v>
      </c>
      <c r="D1070" s="3">
        <v>42849</v>
      </c>
      <c r="E1070" s="3">
        <v>42879</v>
      </c>
      <c r="F1070" s="3"/>
      <c r="G1070">
        <v>4120</v>
      </c>
      <c r="H1070">
        <v>4779.2</v>
      </c>
      <c r="I1070" t="s">
        <v>56</v>
      </c>
    </row>
    <row r="1071" spans="1:9" x14ac:dyDescent="0.2">
      <c r="A1071" t="s">
        <v>41</v>
      </c>
      <c r="B1071" t="s">
        <v>10</v>
      </c>
      <c r="C1071" s="3">
        <v>42846</v>
      </c>
      <c r="D1071" s="3">
        <v>42846</v>
      </c>
      <c r="E1071" s="3">
        <v>42854</v>
      </c>
      <c r="F1071" s="3"/>
      <c r="G1071">
        <v>31535.9</v>
      </c>
      <c r="H1071">
        <v>36581.599999999999</v>
      </c>
      <c r="I1071" t="s">
        <v>56</v>
      </c>
    </row>
    <row r="1072" spans="1:9" x14ac:dyDescent="0.2">
      <c r="A1072" t="s">
        <v>25</v>
      </c>
      <c r="B1072" t="s">
        <v>10</v>
      </c>
      <c r="C1072" s="3">
        <v>42845</v>
      </c>
      <c r="D1072" s="3">
        <v>42845</v>
      </c>
      <c r="E1072" s="3">
        <v>42875</v>
      </c>
      <c r="F1072" s="3"/>
      <c r="G1072">
        <v>10470</v>
      </c>
      <c r="H1072">
        <v>12145.2</v>
      </c>
      <c r="I1072" t="s">
        <v>56</v>
      </c>
    </row>
    <row r="1073" spans="1:9" x14ac:dyDescent="0.2">
      <c r="A1073" t="s">
        <v>18</v>
      </c>
      <c r="B1073" t="s">
        <v>10</v>
      </c>
      <c r="C1073" s="3">
        <v>42845</v>
      </c>
      <c r="D1073" s="3">
        <v>42845</v>
      </c>
      <c r="E1073" s="3">
        <v>42875</v>
      </c>
      <c r="F1073" s="3"/>
      <c r="G1073">
        <v>875</v>
      </c>
      <c r="H1073">
        <v>1015</v>
      </c>
      <c r="I1073" t="s">
        <v>56</v>
      </c>
    </row>
    <row r="1074" spans="1:9" x14ac:dyDescent="0.2">
      <c r="A1074" t="s">
        <v>41</v>
      </c>
      <c r="B1074" t="s">
        <v>10</v>
      </c>
      <c r="C1074" s="3">
        <v>42844</v>
      </c>
      <c r="D1074" s="3">
        <v>42844</v>
      </c>
      <c r="E1074" s="3">
        <v>42852</v>
      </c>
      <c r="F1074" s="3"/>
      <c r="G1074">
        <v>2497.8000000000002</v>
      </c>
      <c r="H1074">
        <v>2897.4</v>
      </c>
      <c r="I1074" t="s">
        <v>56</v>
      </c>
    </row>
    <row r="1075" spans="1:9" x14ac:dyDescent="0.2">
      <c r="A1075" t="s">
        <v>41</v>
      </c>
      <c r="B1075" t="s">
        <v>10</v>
      </c>
      <c r="C1075" s="3">
        <v>42844</v>
      </c>
      <c r="D1075" s="3">
        <v>42844</v>
      </c>
      <c r="E1075" s="3">
        <v>42852</v>
      </c>
      <c r="F1075" s="3"/>
      <c r="G1075">
        <v>9230.6299999999992</v>
      </c>
      <c r="H1075">
        <v>10707.4</v>
      </c>
      <c r="I1075" t="s">
        <v>56</v>
      </c>
    </row>
    <row r="1076" spans="1:9" x14ac:dyDescent="0.2">
      <c r="A1076" t="s">
        <v>13</v>
      </c>
      <c r="B1076" t="s">
        <v>10</v>
      </c>
      <c r="C1076" s="3">
        <v>42844</v>
      </c>
      <c r="D1076" s="3">
        <v>42844</v>
      </c>
      <c r="E1076" s="3">
        <v>42874</v>
      </c>
      <c r="F1076" s="3"/>
      <c r="G1076">
        <v>10686</v>
      </c>
      <c r="H1076">
        <v>12395.7</v>
      </c>
      <c r="I1076" t="s">
        <v>56</v>
      </c>
    </row>
    <row r="1077" spans="1:9" x14ac:dyDescent="0.2">
      <c r="A1077" t="s">
        <v>54</v>
      </c>
      <c r="B1077" t="s">
        <v>10</v>
      </c>
      <c r="C1077" s="3">
        <v>42842</v>
      </c>
      <c r="D1077" s="3">
        <v>42842</v>
      </c>
      <c r="E1077" s="3">
        <v>42842</v>
      </c>
      <c r="F1077" s="3"/>
      <c r="G1077">
        <v>975.52</v>
      </c>
      <c r="H1077">
        <v>1131.5999999999999</v>
      </c>
      <c r="I1077" t="s">
        <v>56</v>
      </c>
    </row>
    <row r="1078" spans="1:9" x14ac:dyDescent="0.2">
      <c r="A1078" t="s">
        <v>41</v>
      </c>
      <c r="B1078" t="s">
        <v>10</v>
      </c>
      <c r="C1078" s="3">
        <v>42836</v>
      </c>
      <c r="D1078" s="3">
        <v>42836</v>
      </c>
      <c r="E1078" s="3">
        <v>42844</v>
      </c>
      <c r="F1078" s="3"/>
      <c r="G1078">
        <v>18866</v>
      </c>
      <c r="H1078">
        <v>21884.6</v>
      </c>
      <c r="I1078" t="s">
        <v>56</v>
      </c>
    </row>
    <row r="1079" spans="1:9" x14ac:dyDescent="0.2">
      <c r="A1079" t="s">
        <v>41</v>
      </c>
      <c r="B1079" t="s">
        <v>10</v>
      </c>
      <c r="C1079" s="3">
        <v>42836</v>
      </c>
      <c r="D1079" s="3">
        <v>42836</v>
      </c>
      <c r="E1079" s="3">
        <v>42844</v>
      </c>
      <c r="F1079" s="3"/>
      <c r="G1079">
        <v>6565.89</v>
      </c>
      <c r="H1079">
        <v>7616.45</v>
      </c>
      <c r="I1079" t="s">
        <v>56</v>
      </c>
    </row>
    <row r="1080" spans="1:9" x14ac:dyDescent="0.2">
      <c r="A1080" t="s">
        <v>36</v>
      </c>
      <c r="B1080" t="s">
        <v>10</v>
      </c>
      <c r="C1080" s="3">
        <v>42836</v>
      </c>
      <c r="D1080" s="3">
        <v>42836</v>
      </c>
      <c r="E1080" s="3">
        <v>42851</v>
      </c>
      <c r="F1080" s="3"/>
      <c r="G1080">
        <v>1650</v>
      </c>
      <c r="H1080">
        <v>1914</v>
      </c>
      <c r="I1080" t="s">
        <v>56</v>
      </c>
    </row>
    <row r="1081" spans="1:9" x14ac:dyDescent="0.2">
      <c r="A1081" t="s">
        <v>18</v>
      </c>
      <c r="B1081" t="s">
        <v>10</v>
      </c>
      <c r="C1081" s="3">
        <v>42836</v>
      </c>
      <c r="D1081" s="3">
        <v>42836</v>
      </c>
      <c r="E1081" s="3">
        <v>42866</v>
      </c>
      <c r="F1081" s="3"/>
      <c r="G1081">
        <v>27249</v>
      </c>
      <c r="H1081">
        <v>31608.799999999999</v>
      </c>
      <c r="I1081" t="s">
        <v>56</v>
      </c>
    </row>
    <row r="1082" spans="1:9" x14ac:dyDescent="0.2">
      <c r="A1082" t="s">
        <v>22</v>
      </c>
      <c r="B1082" t="s">
        <v>10</v>
      </c>
      <c r="C1082" s="3">
        <v>42832</v>
      </c>
      <c r="D1082" s="3">
        <v>42832</v>
      </c>
      <c r="E1082" s="3">
        <v>42892</v>
      </c>
      <c r="F1082" s="3"/>
      <c r="G1082">
        <v>2920.32</v>
      </c>
      <c r="H1082">
        <v>3387.57</v>
      </c>
      <c r="I1082" t="s">
        <v>56</v>
      </c>
    </row>
    <row r="1083" spans="1:9" x14ac:dyDescent="0.2">
      <c r="A1083" t="s">
        <v>66</v>
      </c>
      <c r="B1083" t="s">
        <v>10</v>
      </c>
      <c r="C1083" s="3">
        <v>42831</v>
      </c>
      <c r="D1083" s="3">
        <v>42818</v>
      </c>
      <c r="E1083" s="3">
        <v>42831</v>
      </c>
      <c r="F1083" s="3"/>
      <c r="G1083">
        <v>1942</v>
      </c>
      <c r="H1083">
        <v>2252.7199999999998</v>
      </c>
      <c r="I1083" t="s">
        <v>56</v>
      </c>
    </row>
    <row r="1084" spans="1:9" x14ac:dyDescent="0.2">
      <c r="A1084" t="s">
        <v>41</v>
      </c>
      <c r="B1084" t="s">
        <v>10</v>
      </c>
      <c r="C1084" s="3">
        <v>42831</v>
      </c>
      <c r="D1084" s="3">
        <v>42831</v>
      </c>
      <c r="E1084" s="3">
        <v>42839</v>
      </c>
      <c r="F1084" s="3"/>
      <c r="G1084">
        <v>32082.5</v>
      </c>
      <c r="H1084">
        <v>37215.800000000003</v>
      </c>
      <c r="I1084" t="s">
        <v>56</v>
      </c>
    </row>
    <row r="1085" spans="1:9" x14ac:dyDescent="0.2">
      <c r="A1085" t="s">
        <v>25</v>
      </c>
      <c r="B1085" t="s">
        <v>10</v>
      </c>
      <c r="C1085" s="3">
        <v>42830</v>
      </c>
      <c r="D1085" s="3">
        <v>42830</v>
      </c>
      <c r="E1085" s="3">
        <v>42860</v>
      </c>
      <c r="F1085" s="3"/>
      <c r="G1085">
        <v>14897.9</v>
      </c>
      <c r="H1085">
        <v>17281.599999999999</v>
      </c>
      <c r="I1085" t="s">
        <v>56</v>
      </c>
    </row>
    <row r="1086" spans="1:9" x14ac:dyDescent="0.2">
      <c r="A1086" t="s">
        <v>41</v>
      </c>
      <c r="B1086" t="s">
        <v>10</v>
      </c>
      <c r="C1086" s="3">
        <v>42829</v>
      </c>
      <c r="D1086" s="3">
        <v>42829</v>
      </c>
      <c r="E1086" s="3">
        <v>42837</v>
      </c>
      <c r="F1086" s="3"/>
      <c r="G1086">
        <v>6354.4</v>
      </c>
      <c r="H1086">
        <v>7371.1</v>
      </c>
      <c r="I1086" t="s">
        <v>56</v>
      </c>
    </row>
    <row r="1087" spans="1:9" x14ac:dyDescent="0.2">
      <c r="A1087" t="s">
        <v>13</v>
      </c>
      <c r="B1087" t="s">
        <v>10</v>
      </c>
      <c r="C1087" s="3">
        <v>42828</v>
      </c>
      <c r="D1087" s="3">
        <v>42828</v>
      </c>
      <c r="E1087" s="3">
        <v>42858</v>
      </c>
      <c r="F1087" s="3"/>
      <c r="G1087">
        <v>2460</v>
      </c>
      <c r="H1087">
        <v>2853.6</v>
      </c>
      <c r="I1087" t="s">
        <v>56</v>
      </c>
    </row>
    <row r="1088" spans="1:9" x14ac:dyDescent="0.2">
      <c r="A1088" t="s">
        <v>41</v>
      </c>
      <c r="B1088" t="s">
        <v>10</v>
      </c>
      <c r="C1088" s="3">
        <v>42825</v>
      </c>
      <c r="D1088" s="3">
        <v>42825</v>
      </c>
      <c r="E1088" s="3">
        <v>42833</v>
      </c>
      <c r="F1088" s="3"/>
      <c r="G1088">
        <v>2586.85</v>
      </c>
      <c r="H1088">
        <v>3000.75</v>
      </c>
      <c r="I1088" t="s">
        <v>56</v>
      </c>
    </row>
    <row r="1089" spans="1:9" x14ac:dyDescent="0.2">
      <c r="A1089" t="s">
        <v>41</v>
      </c>
      <c r="B1089" t="s">
        <v>10</v>
      </c>
      <c r="C1089" s="3">
        <v>42825</v>
      </c>
      <c r="D1089" s="3">
        <v>42825</v>
      </c>
      <c r="E1089" s="3">
        <v>42833</v>
      </c>
      <c r="F1089" s="3"/>
      <c r="G1089">
        <v>4053.93</v>
      </c>
      <c r="H1089">
        <v>4702.5</v>
      </c>
      <c r="I1089" t="s">
        <v>56</v>
      </c>
    </row>
    <row r="1090" spans="1:9" x14ac:dyDescent="0.2">
      <c r="A1090" t="s">
        <v>18</v>
      </c>
      <c r="B1090" t="s">
        <v>10</v>
      </c>
      <c r="C1090" s="3">
        <v>42822</v>
      </c>
      <c r="D1090" s="3">
        <v>42822</v>
      </c>
      <c r="E1090" s="3">
        <v>42852</v>
      </c>
      <c r="F1090" s="3"/>
      <c r="G1090">
        <v>8446</v>
      </c>
      <c r="H1090">
        <v>9797.36</v>
      </c>
      <c r="I1090" t="s">
        <v>56</v>
      </c>
    </row>
    <row r="1091" spans="1:9" x14ac:dyDescent="0.2">
      <c r="A1091" t="s">
        <v>18</v>
      </c>
      <c r="B1091" t="s">
        <v>10</v>
      </c>
      <c r="C1091" s="3">
        <v>42822</v>
      </c>
      <c r="D1091" s="3">
        <v>42822</v>
      </c>
      <c r="E1091" s="3">
        <v>42852</v>
      </c>
      <c r="F1091" s="3"/>
      <c r="G1091">
        <v>27024</v>
      </c>
      <c r="H1091">
        <v>31347.8</v>
      </c>
      <c r="I1091" t="s">
        <v>56</v>
      </c>
    </row>
    <row r="1092" spans="1:9" x14ac:dyDescent="0.2">
      <c r="A1092" t="s">
        <v>41</v>
      </c>
      <c r="B1092" t="s">
        <v>10</v>
      </c>
      <c r="C1092" s="3">
        <v>42817</v>
      </c>
      <c r="D1092" s="3">
        <v>42817</v>
      </c>
      <c r="E1092" s="3">
        <v>42825</v>
      </c>
      <c r="F1092" s="3"/>
      <c r="G1092">
        <v>2995.68</v>
      </c>
      <c r="H1092">
        <v>3474.96</v>
      </c>
      <c r="I1092" t="s">
        <v>56</v>
      </c>
    </row>
    <row r="1093" spans="1:9" x14ac:dyDescent="0.2">
      <c r="A1093" t="s">
        <v>41</v>
      </c>
      <c r="B1093" t="s">
        <v>10</v>
      </c>
      <c r="C1093" s="3">
        <v>42817</v>
      </c>
      <c r="D1093" s="3">
        <v>42817</v>
      </c>
      <c r="E1093" s="3">
        <v>42825</v>
      </c>
      <c r="F1093" s="3"/>
      <c r="G1093">
        <v>7957.4</v>
      </c>
      <c r="H1093">
        <v>9230.51</v>
      </c>
      <c r="I1093" t="s">
        <v>56</v>
      </c>
    </row>
    <row r="1094" spans="1:9" x14ac:dyDescent="0.2">
      <c r="A1094" t="s">
        <v>18</v>
      </c>
      <c r="B1094" t="s">
        <v>10</v>
      </c>
      <c r="C1094" s="3">
        <v>42817</v>
      </c>
      <c r="D1094" s="3">
        <v>42817</v>
      </c>
      <c r="E1094" s="3">
        <v>42847</v>
      </c>
      <c r="F1094" s="3"/>
      <c r="G1094">
        <v>29480</v>
      </c>
      <c r="H1094">
        <v>34196.800000000003</v>
      </c>
      <c r="I1094" t="s">
        <v>56</v>
      </c>
    </row>
    <row r="1095" spans="1:9" x14ac:dyDescent="0.2">
      <c r="A1095" t="s">
        <v>18</v>
      </c>
      <c r="B1095" t="s">
        <v>10</v>
      </c>
      <c r="C1095" s="3">
        <v>42817</v>
      </c>
      <c r="D1095" s="3">
        <v>42817</v>
      </c>
      <c r="E1095" s="3">
        <v>42847</v>
      </c>
      <c r="F1095" s="3"/>
      <c r="G1095">
        <v>46016</v>
      </c>
      <c r="H1095">
        <v>53378.5</v>
      </c>
      <c r="I1095" t="s">
        <v>56</v>
      </c>
    </row>
    <row r="1096" spans="1:9" x14ac:dyDescent="0.2">
      <c r="A1096" t="s">
        <v>18</v>
      </c>
      <c r="B1096" t="s">
        <v>10</v>
      </c>
      <c r="C1096" s="3">
        <v>42816</v>
      </c>
      <c r="D1096" s="3">
        <v>42816</v>
      </c>
      <c r="E1096" s="3">
        <v>42846</v>
      </c>
      <c r="F1096" s="3"/>
      <c r="G1096">
        <v>2145</v>
      </c>
      <c r="H1096">
        <v>2488.1999999999998</v>
      </c>
      <c r="I1096" t="s">
        <v>56</v>
      </c>
    </row>
    <row r="1097" spans="1:9" x14ac:dyDescent="0.2">
      <c r="A1097" t="s">
        <v>66</v>
      </c>
      <c r="B1097" t="s">
        <v>10</v>
      </c>
      <c r="C1097" s="3">
        <v>42811</v>
      </c>
      <c r="D1097" s="3">
        <v>42811</v>
      </c>
      <c r="E1097" s="3">
        <v>42811</v>
      </c>
      <c r="F1097" s="3"/>
      <c r="G1097">
        <v>1400</v>
      </c>
      <c r="H1097">
        <v>1624</v>
      </c>
      <c r="I1097" t="s">
        <v>56</v>
      </c>
    </row>
    <row r="1098" spans="1:9" x14ac:dyDescent="0.2">
      <c r="A1098" t="s">
        <v>41</v>
      </c>
      <c r="B1098" t="s">
        <v>10</v>
      </c>
      <c r="C1098" s="3">
        <v>42811</v>
      </c>
      <c r="D1098" s="3">
        <v>42811</v>
      </c>
      <c r="E1098" s="3">
        <v>42819</v>
      </c>
      <c r="F1098" s="3"/>
      <c r="G1098">
        <v>24950.400000000001</v>
      </c>
      <c r="H1098">
        <v>28942.5</v>
      </c>
      <c r="I1098" t="s">
        <v>56</v>
      </c>
    </row>
    <row r="1099" spans="1:9" x14ac:dyDescent="0.2">
      <c r="A1099" t="s">
        <v>13</v>
      </c>
      <c r="B1099" t="s">
        <v>10</v>
      </c>
      <c r="C1099" s="3">
        <v>42810</v>
      </c>
      <c r="D1099" s="3">
        <v>42810</v>
      </c>
      <c r="E1099" s="3">
        <v>42840</v>
      </c>
      <c r="F1099" s="3"/>
      <c r="G1099">
        <v>5950</v>
      </c>
      <c r="H1099">
        <v>6902</v>
      </c>
      <c r="I1099" t="s">
        <v>56</v>
      </c>
    </row>
    <row r="1100" spans="1:9" x14ac:dyDescent="0.2">
      <c r="A1100" t="s">
        <v>18</v>
      </c>
      <c r="B1100" t="s">
        <v>10</v>
      </c>
      <c r="C1100" s="3">
        <v>42809</v>
      </c>
      <c r="D1100" s="3">
        <v>42809</v>
      </c>
      <c r="E1100" s="3">
        <v>42839</v>
      </c>
      <c r="F1100" s="3"/>
      <c r="G1100">
        <v>3676</v>
      </c>
      <c r="H1100">
        <v>4264.16</v>
      </c>
      <c r="I1100" t="s">
        <v>56</v>
      </c>
    </row>
    <row r="1101" spans="1:9" x14ac:dyDescent="0.2">
      <c r="A1101" t="s">
        <v>13</v>
      </c>
      <c r="B1101" t="s">
        <v>10</v>
      </c>
      <c r="C1101" s="3">
        <v>42809</v>
      </c>
      <c r="D1101" s="3">
        <v>42809</v>
      </c>
      <c r="E1101" s="3">
        <v>42839</v>
      </c>
      <c r="F1101" s="3"/>
      <c r="G1101">
        <v>2247</v>
      </c>
      <c r="H1101">
        <v>2606.52</v>
      </c>
      <c r="I1101" t="s">
        <v>56</v>
      </c>
    </row>
    <row r="1102" spans="1:9" x14ac:dyDescent="0.2">
      <c r="A1102" t="s">
        <v>67</v>
      </c>
      <c r="B1102" t="s">
        <v>10</v>
      </c>
      <c r="C1102" s="3">
        <v>42809</v>
      </c>
      <c r="D1102" s="3">
        <v>42809</v>
      </c>
      <c r="E1102" s="3">
        <v>42824</v>
      </c>
      <c r="F1102" s="3"/>
      <c r="G1102">
        <v>24160</v>
      </c>
      <c r="H1102">
        <v>28025.599999999999</v>
      </c>
      <c r="I1102" t="s">
        <v>56</v>
      </c>
    </row>
    <row r="1103" spans="1:9" x14ac:dyDescent="0.2">
      <c r="A1103" t="s">
        <v>41</v>
      </c>
      <c r="B1103" t="s">
        <v>10</v>
      </c>
      <c r="C1103" s="3">
        <v>42808</v>
      </c>
      <c r="D1103" s="3">
        <v>42808</v>
      </c>
      <c r="E1103" s="3">
        <v>42816</v>
      </c>
      <c r="F1103" s="3"/>
      <c r="G1103">
        <v>47088</v>
      </c>
      <c r="H1103">
        <v>54622</v>
      </c>
      <c r="I1103" t="s">
        <v>56</v>
      </c>
    </row>
    <row r="1104" spans="1:9" x14ac:dyDescent="0.2">
      <c r="A1104" t="s">
        <v>18</v>
      </c>
      <c r="B1104" t="s">
        <v>10</v>
      </c>
      <c r="C1104" s="3">
        <v>42808</v>
      </c>
      <c r="D1104" s="3">
        <v>42808</v>
      </c>
      <c r="E1104" s="3">
        <v>42838</v>
      </c>
      <c r="F1104" s="3"/>
      <c r="G1104">
        <v>2420</v>
      </c>
      <c r="H1104">
        <v>2807.2</v>
      </c>
      <c r="I1104" t="s">
        <v>56</v>
      </c>
    </row>
    <row r="1105" spans="1:9" x14ac:dyDescent="0.2">
      <c r="A1105" t="s">
        <v>18</v>
      </c>
      <c r="B1105" t="s">
        <v>10</v>
      </c>
      <c r="C1105" s="3">
        <v>42808</v>
      </c>
      <c r="D1105" s="3">
        <v>42808</v>
      </c>
      <c r="E1105" s="3">
        <v>42838</v>
      </c>
      <c r="F1105" s="3"/>
      <c r="G1105">
        <v>19328</v>
      </c>
      <c r="H1105">
        <v>22420.400000000001</v>
      </c>
      <c r="I1105" t="s">
        <v>56</v>
      </c>
    </row>
    <row r="1106" spans="1:9" x14ac:dyDescent="0.2">
      <c r="A1106" t="s">
        <v>41</v>
      </c>
      <c r="B1106" t="s">
        <v>10</v>
      </c>
      <c r="C1106" s="3">
        <v>42808</v>
      </c>
      <c r="D1106" s="3">
        <v>42808</v>
      </c>
      <c r="E1106" s="3">
        <v>42816</v>
      </c>
      <c r="F1106" s="3"/>
      <c r="G1106">
        <v>9408</v>
      </c>
      <c r="H1106">
        <v>10913.2</v>
      </c>
      <c r="I1106" t="s">
        <v>56</v>
      </c>
    </row>
    <row r="1107" spans="1:9" x14ac:dyDescent="0.2">
      <c r="A1107" t="s">
        <v>25</v>
      </c>
      <c r="B1107" t="s">
        <v>10</v>
      </c>
      <c r="C1107" s="3">
        <v>42807</v>
      </c>
      <c r="D1107" s="3">
        <v>42807</v>
      </c>
      <c r="E1107" s="3">
        <v>42837</v>
      </c>
      <c r="F1107" s="3"/>
      <c r="G1107">
        <v>30487.5</v>
      </c>
      <c r="H1107">
        <v>35365.5</v>
      </c>
      <c r="I1107" t="s">
        <v>56</v>
      </c>
    </row>
    <row r="1108" spans="1:9" x14ac:dyDescent="0.2">
      <c r="A1108" t="s">
        <v>43</v>
      </c>
      <c r="B1108" t="s">
        <v>10</v>
      </c>
      <c r="C1108" s="3">
        <v>42807</v>
      </c>
      <c r="D1108" s="3">
        <v>42807</v>
      </c>
      <c r="E1108" s="3">
        <v>42809</v>
      </c>
      <c r="F1108" s="3"/>
      <c r="G1108">
        <v>1416</v>
      </c>
      <c r="H1108">
        <v>1642.56</v>
      </c>
      <c r="I1108" t="s">
        <v>62</v>
      </c>
    </row>
    <row r="1109" spans="1:9" x14ac:dyDescent="0.2">
      <c r="A1109" t="s">
        <v>41</v>
      </c>
      <c r="B1109" t="s">
        <v>10</v>
      </c>
      <c r="C1109" s="3">
        <v>42804</v>
      </c>
      <c r="D1109" s="3">
        <v>42804</v>
      </c>
      <c r="E1109" s="3">
        <v>42812</v>
      </c>
      <c r="F1109" s="3"/>
      <c r="G1109">
        <v>33908</v>
      </c>
      <c r="H1109">
        <v>39333.199999999997</v>
      </c>
      <c r="I1109" t="s">
        <v>56</v>
      </c>
    </row>
    <row r="1110" spans="1:9" x14ac:dyDescent="0.2">
      <c r="A1110" t="s">
        <v>13</v>
      </c>
      <c r="B1110" t="s">
        <v>10</v>
      </c>
      <c r="C1110" s="3">
        <v>42800</v>
      </c>
      <c r="D1110" s="3">
        <v>42800</v>
      </c>
      <c r="E1110" s="3">
        <v>42830</v>
      </c>
      <c r="F1110" s="3"/>
      <c r="G1110">
        <v>4494</v>
      </c>
      <c r="H1110">
        <v>5213.04</v>
      </c>
      <c r="I1110" t="s">
        <v>56</v>
      </c>
    </row>
    <row r="1111" spans="1:9" x14ac:dyDescent="0.2">
      <c r="A1111" t="s">
        <v>18</v>
      </c>
      <c r="B1111" t="s">
        <v>10</v>
      </c>
      <c r="C1111" s="3">
        <v>42797</v>
      </c>
      <c r="D1111" s="3">
        <v>42797</v>
      </c>
      <c r="E1111" s="3">
        <v>42827</v>
      </c>
      <c r="F1111" s="3"/>
      <c r="G1111">
        <v>3872</v>
      </c>
      <c r="H1111">
        <v>4491.5200000000004</v>
      </c>
      <c r="I1111" t="s">
        <v>56</v>
      </c>
    </row>
    <row r="1112" spans="1:9" x14ac:dyDescent="0.2">
      <c r="A1112" t="s">
        <v>36</v>
      </c>
      <c r="B1112" t="s">
        <v>10</v>
      </c>
      <c r="C1112" s="3">
        <v>42797</v>
      </c>
      <c r="D1112" s="3">
        <v>42797</v>
      </c>
      <c r="E1112" s="3">
        <v>42812</v>
      </c>
      <c r="F1112" s="3"/>
      <c r="G1112">
        <v>5680</v>
      </c>
      <c r="H1112">
        <v>6588.8</v>
      </c>
      <c r="I1112" t="s">
        <v>56</v>
      </c>
    </row>
    <row r="1113" spans="1:9" x14ac:dyDescent="0.2">
      <c r="A1113" t="s">
        <v>41</v>
      </c>
      <c r="B1113" t="s">
        <v>10</v>
      </c>
      <c r="C1113" s="3">
        <v>42797</v>
      </c>
      <c r="D1113" s="3">
        <v>42797</v>
      </c>
      <c r="E1113" s="3">
        <v>42805</v>
      </c>
      <c r="F1113" s="3"/>
      <c r="G1113">
        <v>4759.2</v>
      </c>
      <c r="H1113">
        <v>5520.67</v>
      </c>
      <c r="I1113" t="s">
        <v>56</v>
      </c>
    </row>
    <row r="1114" spans="1:9" x14ac:dyDescent="0.2">
      <c r="A1114" t="s">
        <v>18</v>
      </c>
      <c r="B1114" t="s">
        <v>10</v>
      </c>
      <c r="C1114" s="3">
        <v>42795</v>
      </c>
      <c r="D1114" s="3">
        <v>42795</v>
      </c>
      <c r="E1114" s="3">
        <v>42825</v>
      </c>
      <c r="F1114" s="3"/>
      <c r="G1114">
        <v>8942</v>
      </c>
      <c r="H1114">
        <v>10372.700000000001</v>
      </c>
      <c r="I1114" t="s">
        <v>56</v>
      </c>
    </row>
    <row r="1115" spans="1:9" x14ac:dyDescent="0.2">
      <c r="A1115" t="s">
        <v>25</v>
      </c>
      <c r="B1115" t="s">
        <v>10</v>
      </c>
      <c r="C1115" s="3">
        <v>42795</v>
      </c>
      <c r="D1115" s="3">
        <v>42795</v>
      </c>
      <c r="E1115" s="3">
        <v>42825</v>
      </c>
      <c r="F1115" s="3"/>
      <c r="G1115">
        <v>3930</v>
      </c>
      <c r="H1115">
        <v>4558.8</v>
      </c>
      <c r="I1115" t="s">
        <v>56</v>
      </c>
    </row>
    <row r="1116" spans="1:9" x14ac:dyDescent="0.2">
      <c r="A1116" t="s">
        <v>41</v>
      </c>
      <c r="B1116" t="s">
        <v>10</v>
      </c>
      <c r="C1116" s="3">
        <v>42794</v>
      </c>
      <c r="D1116" s="3">
        <v>42794</v>
      </c>
      <c r="E1116" s="3">
        <v>42802</v>
      </c>
      <c r="F1116" s="3"/>
      <c r="G1116">
        <v>70198.2</v>
      </c>
      <c r="H1116">
        <v>81429.899999999994</v>
      </c>
      <c r="I1116" t="s">
        <v>56</v>
      </c>
    </row>
    <row r="1117" spans="1:9" x14ac:dyDescent="0.2">
      <c r="A1117" t="s">
        <v>41</v>
      </c>
      <c r="B1117" t="s">
        <v>10</v>
      </c>
      <c r="C1117" s="3">
        <v>42794</v>
      </c>
      <c r="D1117" s="3">
        <v>42794</v>
      </c>
      <c r="E1117" s="3">
        <v>42802</v>
      </c>
      <c r="F1117" s="3"/>
      <c r="G1117">
        <v>53541</v>
      </c>
      <c r="H1117">
        <v>62107.5</v>
      </c>
      <c r="I1117" t="s">
        <v>56</v>
      </c>
    </row>
    <row r="1118" spans="1:9" x14ac:dyDescent="0.2">
      <c r="A1118" t="s">
        <v>41</v>
      </c>
      <c r="B1118" t="s">
        <v>10</v>
      </c>
      <c r="C1118" s="3">
        <v>42794</v>
      </c>
      <c r="D1118" s="3">
        <v>42794</v>
      </c>
      <c r="E1118" s="3">
        <v>42802</v>
      </c>
      <c r="F1118" s="3"/>
      <c r="G1118">
        <v>1592.8</v>
      </c>
      <c r="H1118">
        <v>1847.65</v>
      </c>
      <c r="I1118">
        <v>3</v>
      </c>
    </row>
    <row r="1119" spans="1:9" x14ac:dyDescent="0.2">
      <c r="A1119" t="s">
        <v>18</v>
      </c>
      <c r="B1119" t="s">
        <v>10</v>
      </c>
      <c r="C1119" s="3">
        <v>42793</v>
      </c>
      <c r="D1119" s="3">
        <v>42793</v>
      </c>
      <c r="E1119" s="3">
        <v>42823</v>
      </c>
      <c r="F1119" s="3"/>
      <c r="G1119">
        <v>4303</v>
      </c>
      <c r="H1119">
        <v>4991.4799999999996</v>
      </c>
      <c r="I1119">
        <v>3</v>
      </c>
    </row>
    <row r="1120" spans="1:9" x14ac:dyDescent="0.2">
      <c r="A1120" t="s">
        <v>13</v>
      </c>
      <c r="B1120" t="s">
        <v>10</v>
      </c>
      <c r="C1120" s="3">
        <v>42793</v>
      </c>
      <c r="D1120" s="3">
        <v>42793</v>
      </c>
      <c r="E1120" s="3">
        <v>42823</v>
      </c>
      <c r="F1120" s="3"/>
      <c r="G1120">
        <v>854</v>
      </c>
      <c r="H1120">
        <v>990.64</v>
      </c>
      <c r="I1120">
        <v>3</v>
      </c>
    </row>
    <row r="1121" spans="1:9" x14ac:dyDescent="0.2">
      <c r="A1121" t="s">
        <v>22</v>
      </c>
      <c r="B1121" t="s">
        <v>10</v>
      </c>
      <c r="C1121" s="3">
        <v>42790</v>
      </c>
      <c r="D1121" s="3">
        <v>42787</v>
      </c>
      <c r="E1121" s="3">
        <v>42850</v>
      </c>
      <c r="F1121" s="3"/>
      <c r="G1121">
        <v>79480.7</v>
      </c>
      <c r="H1121">
        <v>92197.6</v>
      </c>
      <c r="I1121">
        <v>3</v>
      </c>
    </row>
    <row r="1122" spans="1:9" x14ac:dyDescent="0.2">
      <c r="A1122" t="s">
        <v>41</v>
      </c>
      <c r="B1122" t="s">
        <v>10</v>
      </c>
      <c r="C1122" s="3">
        <v>42790</v>
      </c>
      <c r="D1122" s="3">
        <v>42790</v>
      </c>
      <c r="E1122" s="3">
        <v>42798</v>
      </c>
      <c r="F1122" s="3"/>
      <c r="G1122">
        <v>46410.2</v>
      </c>
      <c r="H1122">
        <v>53835.8</v>
      </c>
      <c r="I1122">
        <v>3</v>
      </c>
    </row>
    <row r="1123" spans="1:9" x14ac:dyDescent="0.2">
      <c r="A1123" t="s">
        <v>20</v>
      </c>
      <c r="B1123" t="s">
        <v>10</v>
      </c>
      <c r="C1123" s="3">
        <v>42789</v>
      </c>
      <c r="D1123" s="3">
        <v>42789</v>
      </c>
      <c r="E1123" s="3">
        <v>42834</v>
      </c>
      <c r="F1123" s="3"/>
      <c r="G1123">
        <v>15822</v>
      </c>
      <c r="H1123">
        <v>18353.5</v>
      </c>
      <c r="I1123">
        <v>3</v>
      </c>
    </row>
    <row r="1124" spans="1:9" x14ac:dyDescent="0.2">
      <c r="A1124" t="s">
        <v>41</v>
      </c>
      <c r="B1124" t="s">
        <v>10</v>
      </c>
      <c r="C1124" s="3">
        <v>42788</v>
      </c>
      <c r="D1124" s="3">
        <v>42788</v>
      </c>
      <c r="E1124" s="3">
        <v>42796</v>
      </c>
      <c r="F1124" s="3"/>
      <c r="G1124">
        <v>12123.5</v>
      </c>
      <c r="H1124">
        <v>14063.3</v>
      </c>
      <c r="I1124">
        <v>3</v>
      </c>
    </row>
    <row r="1125" spans="1:9" x14ac:dyDescent="0.2">
      <c r="A1125" t="s">
        <v>25</v>
      </c>
      <c r="B1125" t="s">
        <v>10</v>
      </c>
      <c r="C1125" s="3">
        <v>42788</v>
      </c>
      <c r="D1125" s="3">
        <v>42788</v>
      </c>
      <c r="E1125" s="3">
        <v>42818</v>
      </c>
      <c r="F1125" s="3"/>
      <c r="G1125">
        <v>17040</v>
      </c>
      <c r="H1125">
        <v>19766.400000000001</v>
      </c>
      <c r="I1125">
        <v>3</v>
      </c>
    </row>
    <row r="1126" spans="1:9" x14ac:dyDescent="0.2">
      <c r="A1126" t="s">
        <v>41</v>
      </c>
      <c r="B1126" t="s">
        <v>10</v>
      </c>
      <c r="C1126" s="3">
        <v>42788</v>
      </c>
      <c r="D1126" s="3">
        <v>42788</v>
      </c>
      <c r="E1126" s="3">
        <v>42796</v>
      </c>
      <c r="F1126" s="3"/>
      <c r="G1126">
        <v>24098.3</v>
      </c>
      <c r="H1126">
        <v>27954.1</v>
      </c>
      <c r="I1126">
        <v>3</v>
      </c>
    </row>
    <row r="1127" spans="1:9" x14ac:dyDescent="0.2">
      <c r="A1127" t="s">
        <v>39</v>
      </c>
      <c r="B1127" t="s">
        <v>10</v>
      </c>
      <c r="C1127" s="3">
        <v>42783</v>
      </c>
      <c r="D1127" s="3">
        <v>42783</v>
      </c>
      <c r="E1127" s="3">
        <v>42791</v>
      </c>
      <c r="F1127" s="3"/>
      <c r="G1127">
        <v>1631</v>
      </c>
      <c r="H1127">
        <v>1891.96</v>
      </c>
      <c r="I1127">
        <v>3</v>
      </c>
    </row>
    <row r="1128" spans="1:9" x14ac:dyDescent="0.2">
      <c r="A1128" t="s">
        <v>20</v>
      </c>
      <c r="B1128" t="s">
        <v>10</v>
      </c>
      <c r="C1128" s="3">
        <v>42782</v>
      </c>
      <c r="D1128" s="3">
        <v>42782</v>
      </c>
      <c r="E1128" s="3">
        <v>42827</v>
      </c>
      <c r="F1128" s="3"/>
      <c r="G1128">
        <v>15134</v>
      </c>
      <c r="H1128">
        <v>17555.400000000001</v>
      </c>
      <c r="I1128">
        <v>3</v>
      </c>
    </row>
    <row r="1129" spans="1:9" x14ac:dyDescent="0.2">
      <c r="A1129" t="s">
        <v>18</v>
      </c>
      <c r="B1129" t="s">
        <v>10</v>
      </c>
      <c r="C1129" s="3">
        <v>42781</v>
      </c>
      <c r="D1129" s="3">
        <v>42781</v>
      </c>
      <c r="E1129" s="3">
        <v>42811</v>
      </c>
      <c r="F1129" s="3"/>
      <c r="G1129">
        <v>9912</v>
      </c>
      <c r="H1129">
        <v>11497.9</v>
      </c>
      <c r="I1129">
        <v>3</v>
      </c>
    </row>
    <row r="1130" spans="1:9" x14ac:dyDescent="0.2">
      <c r="A1130" t="s">
        <v>9</v>
      </c>
      <c r="B1130" t="s">
        <v>10</v>
      </c>
      <c r="C1130" s="3">
        <v>42780</v>
      </c>
      <c r="D1130" s="3">
        <v>42780</v>
      </c>
      <c r="E1130" s="3">
        <v>42787</v>
      </c>
      <c r="F1130" s="3"/>
      <c r="G1130">
        <v>15882</v>
      </c>
      <c r="H1130">
        <v>18423.099999999999</v>
      </c>
      <c r="I1130">
        <v>3</v>
      </c>
    </row>
    <row r="1131" spans="1:9" x14ac:dyDescent="0.2">
      <c r="A1131" t="s">
        <v>13</v>
      </c>
      <c r="B1131" t="s">
        <v>10</v>
      </c>
      <c r="C1131" s="3">
        <v>42776</v>
      </c>
      <c r="D1131" s="3">
        <v>42776</v>
      </c>
      <c r="E1131" s="3">
        <v>42806</v>
      </c>
      <c r="F1131" s="3"/>
      <c r="G1131">
        <v>6846</v>
      </c>
      <c r="H1131">
        <v>7941.36</v>
      </c>
      <c r="I1131">
        <v>3</v>
      </c>
    </row>
    <row r="1132" spans="1:9" x14ac:dyDescent="0.2">
      <c r="A1132" t="s">
        <v>18</v>
      </c>
      <c r="B1132" t="s">
        <v>10</v>
      </c>
      <c r="C1132" s="3">
        <v>42775</v>
      </c>
      <c r="D1132" s="3">
        <v>42775</v>
      </c>
      <c r="E1132" s="3">
        <v>42805</v>
      </c>
      <c r="F1132" s="3"/>
      <c r="G1132">
        <v>23616</v>
      </c>
      <c r="H1132">
        <v>27394.5</v>
      </c>
      <c r="I1132">
        <v>3</v>
      </c>
    </row>
    <row r="1133" spans="1:9" x14ac:dyDescent="0.2">
      <c r="A1133" t="s">
        <v>41</v>
      </c>
      <c r="B1133" t="s">
        <v>10</v>
      </c>
      <c r="C1133" s="3">
        <v>42773</v>
      </c>
      <c r="D1133" s="3">
        <v>42773</v>
      </c>
      <c r="E1133" s="3">
        <v>42781</v>
      </c>
      <c r="F1133" s="3"/>
      <c r="G1133">
        <v>9328.5</v>
      </c>
      <c r="H1133">
        <v>10821</v>
      </c>
      <c r="I1133">
        <v>3</v>
      </c>
    </row>
    <row r="1134" spans="1:9" x14ac:dyDescent="0.2">
      <c r="A1134" t="s">
        <v>41</v>
      </c>
      <c r="B1134" t="s">
        <v>10</v>
      </c>
      <c r="C1134" s="3">
        <v>42773</v>
      </c>
      <c r="D1134" s="3">
        <v>42773</v>
      </c>
      <c r="E1134" s="3">
        <v>42781</v>
      </c>
      <c r="F1134" s="3"/>
      <c r="G1134">
        <v>3731.4</v>
      </c>
      <c r="H1134">
        <v>4328.42</v>
      </c>
      <c r="I1134">
        <v>3</v>
      </c>
    </row>
    <row r="1135" spans="1:9" x14ac:dyDescent="0.2">
      <c r="A1135" t="s">
        <v>41</v>
      </c>
      <c r="B1135" t="s">
        <v>10</v>
      </c>
      <c r="C1135" s="3">
        <v>42773</v>
      </c>
      <c r="D1135" s="3">
        <v>42773</v>
      </c>
      <c r="E1135" s="3">
        <v>42781</v>
      </c>
      <c r="F1135" s="3"/>
      <c r="G1135">
        <v>31712.799999999999</v>
      </c>
      <c r="H1135">
        <v>36786.800000000003</v>
      </c>
      <c r="I1135">
        <v>3</v>
      </c>
    </row>
    <row r="1136" spans="1:9" x14ac:dyDescent="0.2">
      <c r="A1136" t="s">
        <v>25</v>
      </c>
      <c r="B1136" t="s">
        <v>10</v>
      </c>
      <c r="C1136" s="3">
        <v>42769</v>
      </c>
      <c r="D1136" s="3">
        <v>42769</v>
      </c>
      <c r="E1136" s="3">
        <v>42799</v>
      </c>
      <c r="F1136" s="3"/>
      <c r="G1136">
        <v>19442</v>
      </c>
      <c r="H1136">
        <v>22552.7</v>
      </c>
      <c r="I1136">
        <v>3</v>
      </c>
    </row>
    <row r="1137" spans="1:9" x14ac:dyDescent="0.2">
      <c r="A1137" t="s">
        <v>25</v>
      </c>
      <c r="B1137" t="s">
        <v>10</v>
      </c>
      <c r="C1137" s="3">
        <v>42769</v>
      </c>
      <c r="D1137" s="3">
        <v>42769</v>
      </c>
      <c r="E1137" s="3">
        <v>42799</v>
      </c>
      <c r="F1137" s="3"/>
      <c r="G1137">
        <v>7305</v>
      </c>
      <c r="H1137">
        <v>8473.7999999999993</v>
      </c>
      <c r="I1137">
        <v>3</v>
      </c>
    </row>
    <row r="1138" spans="1:9" x14ac:dyDescent="0.2">
      <c r="A1138" t="s">
        <v>17</v>
      </c>
      <c r="B1138" t="s">
        <v>10</v>
      </c>
      <c r="C1138" s="3">
        <v>42768</v>
      </c>
      <c r="D1138" s="3">
        <v>42768</v>
      </c>
      <c r="E1138" s="3">
        <v>42813</v>
      </c>
      <c r="F1138" s="3"/>
      <c r="G1138">
        <v>23388.7</v>
      </c>
      <c r="H1138">
        <v>27130.9</v>
      </c>
      <c r="I1138">
        <v>3</v>
      </c>
    </row>
    <row r="1139" spans="1:9" x14ac:dyDescent="0.2">
      <c r="A1139" t="s">
        <v>41</v>
      </c>
      <c r="B1139" t="s">
        <v>10</v>
      </c>
      <c r="C1139" s="3">
        <v>42766</v>
      </c>
      <c r="D1139" s="3">
        <v>42766</v>
      </c>
      <c r="E1139" s="3">
        <v>42774</v>
      </c>
      <c r="F1139" s="3"/>
      <c r="G1139">
        <v>16605.8</v>
      </c>
      <c r="H1139">
        <v>19262.7</v>
      </c>
      <c r="I1139">
        <v>3</v>
      </c>
    </row>
    <row r="1140" spans="1:9" x14ac:dyDescent="0.2">
      <c r="A1140" t="s">
        <v>18</v>
      </c>
      <c r="B1140" t="s">
        <v>10</v>
      </c>
      <c r="C1140" s="3">
        <v>42765</v>
      </c>
      <c r="D1140" s="3">
        <v>42765</v>
      </c>
      <c r="E1140" s="3">
        <v>42795</v>
      </c>
      <c r="F1140" s="3"/>
      <c r="G1140">
        <v>1930</v>
      </c>
      <c r="H1140">
        <v>2238.8000000000002</v>
      </c>
      <c r="I1140">
        <v>3</v>
      </c>
    </row>
    <row r="1141" spans="1:9" x14ac:dyDescent="0.2">
      <c r="A1141" t="s">
        <v>18</v>
      </c>
      <c r="B1141" t="s">
        <v>10</v>
      </c>
      <c r="C1141" s="3">
        <v>42765</v>
      </c>
      <c r="D1141" s="3">
        <v>42765</v>
      </c>
      <c r="E1141" s="3">
        <v>42795</v>
      </c>
      <c r="F1141" s="3"/>
      <c r="G1141">
        <v>35125</v>
      </c>
      <c r="H1141">
        <v>40745</v>
      </c>
      <c r="I1141">
        <v>3</v>
      </c>
    </row>
    <row r="1142" spans="1:9" x14ac:dyDescent="0.2">
      <c r="A1142" t="s">
        <v>41</v>
      </c>
      <c r="B1142" t="s">
        <v>10</v>
      </c>
      <c r="C1142" s="3">
        <v>42761</v>
      </c>
      <c r="D1142" s="3">
        <v>42761</v>
      </c>
      <c r="E1142" s="3">
        <v>42769</v>
      </c>
      <c r="F1142" s="3"/>
      <c r="G1142">
        <v>8377.0400000000009</v>
      </c>
      <c r="H1142">
        <v>9717.3700000000008</v>
      </c>
      <c r="I1142">
        <v>3</v>
      </c>
    </row>
    <row r="1143" spans="1:9" x14ac:dyDescent="0.2">
      <c r="A1143" t="s">
        <v>41</v>
      </c>
      <c r="B1143" t="s">
        <v>10</v>
      </c>
      <c r="C1143" s="3">
        <v>42759</v>
      </c>
      <c r="D1143" s="3">
        <v>42759</v>
      </c>
      <c r="E1143" s="3">
        <v>42767</v>
      </c>
      <c r="F1143" s="3"/>
      <c r="G1143">
        <v>25336.9</v>
      </c>
      <c r="H1143">
        <v>29390.9</v>
      </c>
      <c r="I1143">
        <v>3</v>
      </c>
    </row>
    <row r="1144" spans="1:9" x14ac:dyDescent="0.2">
      <c r="A1144" t="s">
        <v>18</v>
      </c>
      <c r="B1144" t="s">
        <v>10</v>
      </c>
      <c r="C1144" s="3">
        <v>42759</v>
      </c>
      <c r="D1144" s="3">
        <v>42759</v>
      </c>
      <c r="E1144" s="3">
        <v>42789</v>
      </c>
      <c r="F1144" s="3"/>
      <c r="G1144">
        <v>2494</v>
      </c>
      <c r="H1144">
        <v>2893.04</v>
      </c>
      <c r="I1144">
        <v>3</v>
      </c>
    </row>
    <row r="1145" spans="1:9" x14ac:dyDescent="0.2">
      <c r="A1145" t="s">
        <v>18</v>
      </c>
      <c r="B1145" t="s">
        <v>10</v>
      </c>
      <c r="C1145" s="3">
        <v>42758</v>
      </c>
      <c r="D1145" s="3">
        <v>42758</v>
      </c>
      <c r="E1145" s="3">
        <v>42788</v>
      </c>
      <c r="F1145" s="3"/>
      <c r="G1145">
        <v>14740</v>
      </c>
      <c r="H1145">
        <v>17098.400000000001</v>
      </c>
      <c r="I1145">
        <v>3</v>
      </c>
    </row>
    <row r="1146" spans="1:9" x14ac:dyDescent="0.2">
      <c r="A1146" t="s">
        <v>18</v>
      </c>
      <c r="B1146" t="s">
        <v>10</v>
      </c>
      <c r="C1146" s="3">
        <v>42758</v>
      </c>
      <c r="D1146" s="3">
        <v>42758</v>
      </c>
      <c r="E1146" s="3">
        <v>42788</v>
      </c>
      <c r="F1146" s="3"/>
      <c r="G1146">
        <v>47718</v>
      </c>
      <c r="H1146">
        <v>55352.800000000003</v>
      </c>
      <c r="I1146">
        <v>3</v>
      </c>
    </row>
    <row r="1147" spans="1:9" x14ac:dyDescent="0.2">
      <c r="A1147" t="s">
        <v>13</v>
      </c>
      <c r="B1147" t="s">
        <v>10</v>
      </c>
      <c r="C1147" s="3">
        <v>42753</v>
      </c>
      <c r="D1147" s="3">
        <v>42753</v>
      </c>
      <c r="E1147" s="3">
        <v>42783</v>
      </c>
      <c r="F1147" s="3"/>
      <c r="G1147">
        <v>1836</v>
      </c>
      <c r="H1147">
        <v>2129.7600000000002</v>
      </c>
      <c r="I1147">
        <v>3</v>
      </c>
    </row>
    <row r="1148" spans="1:9" x14ac:dyDescent="0.2">
      <c r="A1148" t="s">
        <v>22</v>
      </c>
      <c r="B1148" t="s">
        <v>10</v>
      </c>
      <c r="C1148" s="3">
        <v>42752</v>
      </c>
      <c r="D1148" s="3">
        <v>42752</v>
      </c>
      <c r="E1148" s="3">
        <v>42812</v>
      </c>
      <c r="F1148" s="3"/>
      <c r="G1148">
        <v>17736.599999999999</v>
      </c>
      <c r="H1148">
        <v>20574.400000000001</v>
      </c>
      <c r="I1148">
        <v>3</v>
      </c>
    </row>
    <row r="1149" spans="1:9" x14ac:dyDescent="0.2">
      <c r="A1149" t="s">
        <v>20</v>
      </c>
      <c r="B1149" t="s">
        <v>10</v>
      </c>
      <c r="C1149" s="3">
        <v>42748</v>
      </c>
      <c r="D1149" s="3">
        <v>42748</v>
      </c>
      <c r="E1149" s="3">
        <v>42793</v>
      </c>
      <c r="F1149" s="3"/>
      <c r="G1149">
        <v>12430</v>
      </c>
      <c r="H1149">
        <v>14418.8</v>
      </c>
      <c r="I1149">
        <v>3</v>
      </c>
    </row>
    <row r="1150" spans="1:9" x14ac:dyDescent="0.2">
      <c r="A1150" t="s">
        <v>41</v>
      </c>
      <c r="B1150" t="s">
        <v>10</v>
      </c>
      <c r="C1150" s="3">
        <v>42747</v>
      </c>
      <c r="D1150" s="3">
        <v>42747</v>
      </c>
      <c r="E1150" s="3">
        <v>42755</v>
      </c>
      <c r="F1150" s="3"/>
      <c r="G1150">
        <v>9339.84</v>
      </c>
      <c r="H1150">
        <v>10834.2</v>
      </c>
      <c r="I1150">
        <v>3</v>
      </c>
    </row>
    <row r="1151" spans="1:9" x14ac:dyDescent="0.2">
      <c r="A1151" t="s">
        <v>41</v>
      </c>
      <c r="B1151" t="s">
        <v>10</v>
      </c>
      <c r="C1151" s="3">
        <v>42747</v>
      </c>
      <c r="D1151" s="3">
        <v>42747</v>
      </c>
      <c r="E1151" s="3">
        <v>42755</v>
      </c>
      <c r="F1151" s="3"/>
      <c r="G1151">
        <v>1405.3</v>
      </c>
      <c r="H1151">
        <v>1630.15</v>
      </c>
      <c r="I1151">
        <v>3</v>
      </c>
    </row>
    <row r="1152" spans="1:9" x14ac:dyDescent="0.2">
      <c r="A1152" t="s">
        <v>18</v>
      </c>
      <c r="B1152" t="s">
        <v>10</v>
      </c>
      <c r="C1152" s="3">
        <v>42747</v>
      </c>
      <c r="D1152" s="3">
        <v>42747</v>
      </c>
      <c r="E1152" s="3">
        <v>42777</v>
      </c>
      <c r="F1152" s="3"/>
      <c r="G1152">
        <v>25338</v>
      </c>
      <c r="H1152">
        <v>29392</v>
      </c>
      <c r="I1152">
        <v>3</v>
      </c>
    </row>
    <row r="1153" spans="1:9" x14ac:dyDescent="0.2">
      <c r="A1153" t="s">
        <v>18</v>
      </c>
      <c r="B1153" t="s">
        <v>10</v>
      </c>
      <c r="C1153" s="3">
        <v>42747</v>
      </c>
      <c r="D1153" s="3">
        <v>42747</v>
      </c>
      <c r="E1153" s="3">
        <v>42777</v>
      </c>
      <c r="F1153" s="3"/>
      <c r="G1153">
        <v>42230</v>
      </c>
      <c r="H1153">
        <v>48986.8</v>
      </c>
      <c r="I1153">
        <v>3</v>
      </c>
    </row>
    <row r="1154" spans="1:9" x14ac:dyDescent="0.2">
      <c r="A1154" t="s">
        <v>41</v>
      </c>
      <c r="B1154" t="s">
        <v>10</v>
      </c>
      <c r="C1154" s="3">
        <v>42746</v>
      </c>
      <c r="D1154" s="3">
        <v>42746</v>
      </c>
      <c r="E1154" s="3">
        <v>42754</v>
      </c>
      <c r="F1154" s="3"/>
      <c r="G1154">
        <v>26172.400000000001</v>
      </c>
      <c r="H1154">
        <v>30360.1</v>
      </c>
      <c r="I1154">
        <v>3</v>
      </c>
    </row>
    <row r="1155" spans="1:9" x14ac:dyDescent="0.2">
      <c r="A1155" t="s">
        <v>41</v>
      </c>
      <c r="B1155" t="s">
        <v>10</v>
      </c>
      <c r="C1155" s="3">
        <v>42745</v>
      </c>
      <c r="D1155" s="3">
        <v>42745</v>
      </c>
      <c r="E1155" s="3">
        <v>42753</v>
      </c>
      <c r="F1155" s="3"/>
      <c r="G1155">
        <v>41371.199999999997</v>
      </c>
      <c r="H1155">
        <v>47990.5</v>
      </c>
      <c r="I1155">
        <v>3</v>
      </c>
    </row>
    <row r="1156" spans="1:9" x14ac:dyDescent="0.2">
      <c r="A1156" t="s">
        <v>41</v>
      </c>
      <c r="B1156" t="s">
        <v>10</v>
      </c>
      <c r="C1156" s="3">
        <v>42745</v>
      </c>
      <c r="D1156" s="3">
        <v>42745</v>
      </c>
      <c r="E1156" s="3">
        <v>42753</v>
      </c>
      <c r="F1156" s="3"/>
      <c r="G1156">
        <v>10213.4</v>
      </c>
      <c r="H1156">
        <v>11847.7</v>
      </c>
      <c r="I1156">
        <v>3</v>
      </c>
    </row>
    <row r="1157" spans="1:9" x14ac:dyDescent="0.2">
      <c r="A1157" t="s">
        <v>41</v>
      </c>
      <c r="B1157" t="s">
        <v>10</v>
      </c>
      <c r="C1157" s="3">
        <v>42738</v>
      </c>
      <c r="D1157" s="3">
        <v>42738</v>
      </c>
      <c r="E1157" s="3">
        <v>42746</v>
      </c>
      <c r="F1157" s="3"/>
      <c r="G1157">
        <v>2642.66</v>
      </c>
      <c r="H1157">
        <v>3065.58</v>
      </c>
      <c r="I1157">
        <v>3</v>
      </c>
    </row>
    <row r="1158" spans="1:9" x14ac:dyDescent="0.2">
      <c r="A1158" t="s">
        <v>41</v>
      </c>
      <c r="B1158" t="s">
        <v>10</v>
      </c>
      <c r="C1158" s="3">
        <v>42738</v>
      </c>
      <c r="D1158" s="3">
        <v>42738</v>
      </c>
      <c r="E1158" s="3">
        <v>42746</v>
      </c>
      <c r="F1158" s="3"/>
      <c r="G1158">
        <v>2642.66</v>
      </c>
      <c r="H1158">
        <v>3065.58</v>
      </c>
      <c r="I1158">
        <v>3</v>
      </c>
    </row>
    <row r="1159" spans="1:9" x14ac:dyDescent="0.2">
      <c r="A1159" t="s">
        <v>41</v>
      </c>
      <c r="B1159" t="s">
        <v>10</v>
      </c>
      <c r="C1159" s="3">
        <v>42738</v>
      </c>
      <c r="D1159" s="3">
        <v>42738</v>
      </c>
      <c r="E1159" s="3">
        <v>42746</v>
      </c>
      <c r="F1159" s="3"/>
      <c r="G1159">
        <v>5938.56</v>
      </c>
      <c r="H1159">
        <v>6888.73</v>
      </c>
      <c r="I1159">
        <v>3</v>
      </c>
    </row>
    <row r="1160" spans="1:9" x14ac:dyDescent="0.2">
      <c r="A1160" t="s">
        <v>41</v>
      </c>
      <c r="B1160" t="s">
        <v>10</v>
      </c>
      <c r="C1160" s="3">
        <v>42738</v>
      </c>
      <c r="D1160" s="3">
        <v>42738</v>
      </c>
      <c r="E1160" s="3">
        <v>42746</v>
      </c>
      <c r="F1160" s="3"/>
      <c r="G1160">
        <v>13089.5</v>
      </c>
      <c r="H1160">
        <v>15183.9</v>
      </c>
      <c r="I1160">
        <v>3</v>
      </c>
    </row>
    <row r="1161" spans="1:9" x14ac:dyDescent="0.2">
      <c r="A1161" t="s">
        <v>44</v>
      </c>
      <c r="B1161" t="s">
        <v>10</v>
      </c>
      <c r="C1161" s="3">
        <v>42738</v>
      </c>
      <c r="D1161" s="3">
        <v>42738</v>
      </c>
      <c r="E1161" s="3">
        <v>42745</v>
      </c>
      <c r="F1161" s="3"/>
      <c r="G1161">
        <v>10578</v>
      </c>
      <c r="H1161">
        <v>12270.5</v>
      </c>
      <c r="I1161">
        <v>2</v>
      </c>
    </row>
    <row r="1162" spans="1:9" x14ac:dyDescent="0.2">
      <c r="A1162" t="s">
        <v>18</v>
      </c>
      <c r="B1162" t="s">
        <v>10</v>
      </c>
      <c r="C1162" s="3">
        <v>42738</v>
      </c>
      <c r="D1162" s="3">
        <v>42738</v>
      </c>
      <c r="E1162" s="3">
        <v>42768</v>
      </c>
      <c r="F1162" s="3"/>
      <c r="G1162">
        <v>23616</v>
      </c>
      <c r="H1162">
        <v>27394.5</v>
      </c>
      <c r="I1162">
        <v>3</v>
      </c>
    </row>
    <row r="1163" spans="1:9" x14ac:dyDescent="0.2">
      <c r="A1163" t="s">
        <v>18</v>
      </c>
      <c r="B1163" t="s">
        <v>10</v>
      </c>
      <c r="C1163" s="3">
        <v>42737</v>
      </c>
      <c r="D1163" s="3">
        <v>42737</v>
      </c>
      <c r="E1163" s="3">
        <v>42767</v>
      </c>
      <c r="F1163" s="3"/>
      <c r="G1163">
        <v>5591</v>
      </c>
      <c r="H1163">
        <v>6485.56</v>
      </c>
      <c r="I1163">
        <v>3</v>
      </c>
    </row>
    <row r="1164" spans="1:9" x14ac:dyDescent="0.2">
      <c r="A1164" t="s">
        <v>36</v>
      </c>
      <c r="B1164" t="s">
        <v>10</v>
      </c>
      <c r="C1164" s="3">
        <v>42727</v>
      </c>
      <c r="D1164" s="3">
        <v>42726</v>
      </c>
      <c r="E1164" s="3">
        <v>42742</v>
      </c>
      <c r="F1164" s="3"/>
      <c r="G1164">
        <v>1250</v>
      </c>
      <c r="H1164">
        <v>1450</v>
      </c>
      <c r="I1164">
        <v>3</v>
      </c>
    </row>
    <row r="1165" spans="1:9" x14ac:dyDescent="0.2">
      <c r="A1165" t="s">
        <v>20</v>
      </c>
      <c r="B1165" t="s">
        <v>10</v>
      </c>
      <c r="C1165" s="3">
        <v>42727</v>
      </c>
      <c r="D1165" s="3">
        <v>42727</v>
      </c>
      <c r="E1165" s="3">
        <v>42772</v>
      </c>
      <c r="F1165" s="3"/>
      <c r="G1165">
        <v>22128</v>
      </c>
      <c r="H1165">
        <v>25668.400000000001</v>
      </c>
      <c r="I1165">
        <v>3</v>
      </c>
    </row>
    <row r="1166" spans="1:9" x14ac:dyDescent="0.2">
      <c r="A1166" t="s">
        <v>25</v>
      </c>
      <c r="B1166" t="s">
        <v>10</v>
      </c>
      <c r="C1166" s="3">
        <v>42727</v>
      </c>
      <c r="D1166" s="3">
        <v>42727</v>
      </c>
      <c r="E1166" s="3">
        <v>42757</v>
      </c>
      <c r="F1166" s="3"/>
      <c r="G1166">
        <v>18886</v>
      </c>
      <c r="H1166">
        <v>21907.7</v>
      </c>
      <c r="I1166">
        <v>3</v>
      </c>
    </row>
    <row r="1167" spans="1:9" x14ac:dyDescent="0.2">
      <c r="A1167" t="s">
        <v>13</v>
      </c>
      <c r="B1167" t="s">
        <v>10</v>
      </c>
      <c r="C1167" s="3">
        <v>42727</v>
      </c>
      <c r="D1167" s="3">
        <v>42727</v>
      </c>
      <c r="E1167" s="3">
        <v>42757</v>
      </c>
      <c r="F1167" s="3"/>
      <c r="G1167">
        <v>2117</v>
      </c>
      <c r="H1167">
        <v>2455.7199999999998</v>
      </c>
      <c r="I1167">
        <v>3</v>
      </c>
    </row>
    <row r="1168" spans="1:9" x14ac:dyDescent="0.2">
      <c r="A1168" t="s">
        <v>41</v>
      </c>
      <c r="B1168" t="s">
        <v>10</v>
      </c>
      <c r="C1168" s="3">
        <v>42726</v>
      </c>
      <c r="D1168" s="3">
        <v>42726</v>
      </c>
      <c r="E1168" s="3">
        <v>42734</v>
      </c>
      <c r="F1168" s="3"/>
      <c r="G1168">
        <v>21306.400000000001</v>
      </c>
      <c r="H1168">
        <v>24715.4</v>
      </c>
      <c r="I1168">
        <v>3</v>
      </c>
    </row>
    <row r="1169" spans="1:9" x14ac:dyDescent="0.2">
      <c r="A1169" t="s">
        <v>68</v>
      </c>
      <c r="B1169" t="s">
        <v>10</v>
      </c>
      <c r="C1169" s="3">
        <v>42725</v>
      </c>
      <c r="D1169" s="3">
        <v>42725</v>
      </c>
      <c r="E1169" s="3">
        <v>42733</v>
      </c>
      <c r="F1169" s="3"/>
      <c r="G1169">
        <v>2400</v>
      </c>
      <c r="H1169">
        <v>2784</v>
      </c>
    </row>
    <row r="1170" spans="1:9" x14ac:dyDescent="0.2">
      <c r="A1170" t="s">
        <v>41</v>
      </c>
      <c r="B1170" t="s">
        <v>10</v>
      </c>
      <c r="C1170" s="3">
        <v>42723</v>
      </c>
      <c r="D1170" s="3">
        <v>42723</v>
      </c>
      <c r="E1170" s="3">
        <v>42731</v>
      </c>
      <c r="F1170" s="3"/>
      <c r="G1170">
        <v>38550.400000000001</v>
      </c>
      <c r="H1170">
        <v>44718.400000000001</v>
      </c>
      <c r="I1170">
        <v>3</v>
      </c>
    </row>
    <row r="1171" spans="1:9" x14ac:dyDescent="0.2">
      <c r="A1171" t="s">
        <v>41</v>
      </c>
      <c r="B1171" t="s">
        <v>10</v>
      </c>
      <c r="C1171" s="3">
        <v>42720</v>
      </c>
      <c r="D1171" s="3">
        <v>42720</v>
      </c>
      <c r="E1171" s="3">
        <v>42728</v>
      </c>
      <c r="F1171" s="3"/>
      <c r="G1171">
        <v>3239.24</v>
      </c>
      <c r="H1171">
        <v>3757.48</v>
      </c>
      <c r="I1171">
        <v>3</v>
      </c>
    </row>
    <row r="1172" spans="1:9" x14ac:dyDescent="0.2">
      <c r="A1172" t="s">
        <v>41</v>
      </c>
      <c r="B1172" t="s">
        <v>10</v>
      </c>
      <c r="C1172" s="3">
        <v>42720</v>
      </c>
      <c r="D1172" s="3">
        <v>42720</v>
      </c>
      <c r="E1172" s="3">
        <v>42728</v>
      </c>
      <c r="F1172" s="3"/>
      <c r="G1172">
        <v>9705.6</v>
      </c>
      <c r="H1172">
        <v>11258.5</v>
      </c>
      <c r="I1172">
        <v>3</v>
      </c>
    </row>
    <row r="1173" spans="1:9" x14ac:dyDescent="0.2">
      <c r="A1173" t="s">
        <v>18</v>
      </c>
      <c r="B1173" t="s">
        <v>10</v>
      </c>
      <c r="C1173" s="3">
        <v>42719</v>
      </c>
      <c r="D1173" s="3">
        <v>42719</v>
      </c>
      <c r="E1173" s="3">
        <v>42749</v>
      </c>
      <c r="F1173" s="3"/>
      <c r="G1173">
        <v>27955</v>
      </c>
      <c r="H1173">
        <v>32427.8</v>
      </c>
      <c r="I1173">
        <v>3</v>
      </c>
    </row>
    <row r="1174" spans="1:9" x14ac:dyDescent="0.2">
      <c r="A1174" t="s">
        <v>13</v>
      </c>
      <c r="B1174" t="s">
        <v>10</v>
      </c>
      <c r="C1174" s="3">
        <v>42719</v>
      </c>
      <c r="D1174" s="3">
        <v>42719</v>
      </c>
      <c r="E1174" s="3">
        <v>42749</v>
      </c>
      <c r="F1174" s="3"/>
      <c r="G1174">
        <v>19839</v>
      </c>
      <c r="H1174">
        <v>23013.200000000001</v>
      </c>
      <c r="I1174">
        <v>3</v>
      </c>
    </row>
    <row r="1175" spans="1:9" x14ac:dyDescent="0.2">
      <c r="A1175" t="s">
        <v>18</v>
      </c>
      <c r="B1175" t="s">
        <v>10</v>
      </c>
      <c r="C1175" s="3">
        <v>42719</v>
      </c>
      <c r="D1175" s="3">
        <v>42719</v>
      </c>
      <c r="E1175" s="3">
        <v>42749</v>
      </c>
      <c r="F1175" s="3"/>
      <c r="G1175">
        <v>27027</v>
      </c>
      <c r="H1175">
        <v>31351.3</v>
      </c>
      <c r="I1175">
        <v>3</v>
      </c>
    </row>
    <row r="1176" spans="1:9" x14ac:dyDescent="0.2">
      <c r="A1176" t="s">
        <v>18</v>
      </c>
      <c r="B1176" t="s">
        <v>10</v>
      </c>
      <c r="C1176" s="3">
        <v>42719</v>
      </c>
      <c r="D1176" s="3">
        <v>42719</v>
      </c>
      <c r="E1176" s="3">
        <v>42749</v>
      </c>
      <c r="F1176" s="3"/>
      <c r="G1176">
        <v>8446</v>
      </c>
      <c r="H1176">
        <v>9797.36</v>
      </c>
      <c r="I1176">
        <v>3</v>
      </c>
    </row>
    <row r="1177" spans="1:9" x14ac:dyDescent="0.2">
      <c r="A1177" t="s">
        <v>18</v>
      </c>
      <c r="B1177" t="s">
        <v>10</v>
      </c>
      <c r="C1177" s="3">
        <v>42719</v>
      </c>
      <c r="D1177" s="3">
        <v>42719</v>
      </c>
      <c r="E1177" s="3">
        <v>42749</v>
      </c>
      <c r="F1177" s="3"/>
      <c r="G1177">
        <v>47719</v>
      </c>
      <c r="H1177">
        <v>55354</v>
      </c>
      <c r="I1177">
        <v>3</v>
      </c>
    </row>
    <row r="1178" spans="1:9" x14ac:dyDescent="0.2">
      <c r="A1178" t="s">
        <v>18</v>
      </c>
      <c r="B1178" t="s">
        <v>10</v>
      </c>
      <c r="C1178" s="3">
        <v>42719</v>
      </c>
      <c r="D1178" s="3">
        <v>42719</v>
      </c>
      <c r="E1178" s="3">
        <v>42749</v>
      </c>
      <c r="F1178" s="3"/>
      <c r="G1178">
        <v>47719</v>
      </c>
      <c r="H1178">
        <v>55354</v>
      </c>
      <c r="I1178">
        <v>3</v>
      </c>
    </row>
    <row r="1179" spans="1:9" x14ac:dyDescent="0.2">
      <c r="A1179" t="s">
        <v>18</v>
      </c>
      <c r="B1179" t="s">
        <v>10</v>
      </c>
      <c r="C1179" s="3">
        <v>42719</v>
      </c>
      <c r="D1179" s="3">
        <v>42719</v>
      </c>
      <c r="E1179" s="3">
        <v>42749</v>
      </c>
      <c r="F1179" s="3"/>
      <c r="G1179">
        <v>47719</v>
      </c>
      <c r="H1179">
        <v>55354</v>
      </c>
      <c r="I1179">
        <v>3</v>
      </c>
    </row>
    <row r="1180" spans="1:9" x14ac:dyDescent="0.2">
      <c r="A1180" t="s">
        <v>41</v>
      </c>
      <c r="B1180" t="s">
        <v>10</v>
      </c>
      <c r="C1180" s="3">
        <v>42719</v>
      </c>
      <c r="D1180" s="3">
        <v>42719</v>
      </c>
      <c r="E1180" s="3">
        <v>42727</v>
      </c>
      <c r="F1180" s="3"/>
      <c r="G1180">
        <v>54203.9</v>
      </c>
      <c r="H1180">
        <v>62876.6</v>
      </c>
      <c r="I1180">
        <v>3</v>
      </c>
    </row>
    <row r="1181" spans="1:9" x14ac:dyDescent="0.2">
      <c r="A1181" t="s">
        <v>41</v>
      </c>
      <c r="B1181" t="s">
        <v>10</v>
      </c>
      <c r="C1181" s="3">
        <v>42719</v>
      </c>
      <c r="D1181" s="3">
        <v>42719</v>
      </c>
      <c r="E1181" s="3">
        <v>42727</v>
      </c>
      <c r="F1181" s="3"/>
      <c r="G1181">
        <v>11238.7</v>
      </c>
      <c r="H1181">
        <v>13036.9</v>
      </c>
      <c r="I1181">
        <v>3</v>
      </c>
    </row>
    <row r="1182" spans="1:9" x14ac:dyDescent="0.2">
      <c r="A1182" t="s">
        <v>18</v>
      </c>
      <c r="B1182" t="s">
        <v>10</v>
      </c>
      <c r="C1182" s="3">
        <v>42719</v>
      </c>
      <c r="D1182" s="3">
        <v>42719</v>
      </c>
      <c r="E1182" s="3">
        <v>42749</v>
      </c>
      <c r="F1182" s="3"/>
      <c r="G1182">
        <v>45788</v>
      </c>
      <c r="H1182">
        <v>53114</v>
      </c>
      <c r="I1182">
        <v>3</v>
      </c>
    </row>
    <row r="1183" spans="1:9" x14ac:dyDescent="0.2">
      <c r="A1183" t="s">
        <v>20</v>
      </c>
      <c r="B1183" t="s">
        <v>10</v>
      </c>
      <c r="C1183" s="3">
        <v>42717</v>
      </c>
      <c r="D1183" s="3">
        <v>42717</v>
      </c>
      <c r="E1183" s="3">
        <v>42762</v>
      </c>
      <c r="F1183" s="3"/>
      <c r="G1183">
        <v>35526.800000000003</v>
      </c>
      <c r="H1183">
        <v>41211</v>
      </c>
      <c r="I1183">
        <v>3</v>
      </c>
    </row>
    <row r="1184" spans="1:9" x14ac:dyDescent="0.2">
      <c r="A1184" t="s">
        <v>54</v>
      </c>
      <c r="B1184" t="s">
        <v>10</v>
      </c>
      <c r="C1184" s="3">
        <v>42717</v>
      </c>
      <c r="D1184" s="3">
        <v>42717</v>
      </c>
      <c r="E1184" s="3">
        <v>42717</v>
      </c>
      <c r="F1184" s="3"/>
      <c r="G1184">
        <v>1266.04</v>
      </c>
      <c r="H1184">
        <v>1468.61</v>
      </c>
      <c r="I1184">
        <v>3</v>
      </c>
    </row>
    <row r="1185" spans="1:9" x14ac:dyDescent="0.2">
      <c r="A1185" t="s">
        <v>22</v>
      </c>
      <c r="B1185" t="s">
        <v>10</v>
      </c>
      <c r="C1185" s="3">
        <v>42712</v>
      </c>
      <c r="D1185" s="3">
        <v>42712</v>
      </c>
      <c r="E1185" s="3">
        <v>42772</v>
      </c>
      <c r="F1185" s="3"/>
      <c r="G1185">
        <v>58723.199999999997</v>
      </c>
      <c r="H1185">
        <v>68118.899999999994</v>
      </c>
      <c r="I1185">
        <v>3</v>
      </c>
    </row>
    <row r="1186" spans="1:9" x14ac:dyDescent="0.2">
      <c r="A1186" t="s">
        <v>22</v>
      </c>
      <c r="B1186" t="s">
        <v>10</v>
      </c>
      <c r="C1186" s="3">
        <v>42712</v>
      </c>
      <c r="D1186" s="3">
        <v>42712</v>
      </c>
      <c r="E1186" s="3">
        <v>42772</v>
      </c>
      <c r="F1186" s="3"/>
      <c r="G1186">
        <v>138774</v>
      </c>
      <c r="H1186">
        <v>160978</v>
      </c>
      <c r="I1186">
        <v>3</v>
      </c>
    </row>
    <row r="1187" spans="1:9" x14ac:dyDescent="0.2">
      <c r="A1187" t="s">
        <v>22</v>
      </c>
      <c r="B1187" t="s">
        <v>10</v>
      </c>
      <c r="C1187" s="3">
        <v>42712</v>
      </c>
      <c r="D1187" s="3">
        <v>42712</v>
      </c>
      <c r="E1187" s="3">
        <v>42772</v>
      </c>
      <c r="F1187" s="3"/>
      <c r="G1187">
        <v>8680</v>
      </c>
      <c r="H1187">
        <v>10068.799999999999</v>
      </c>
      <c r="I1187">
        <v>3</v>
      </c>
    </row>
    <row r="1188" spans="1:9" x14ac:dyDescent="0.2">
      <c r="A1188" t="s">
        <v>41</v>
      </c>
      <c r="B1188" t="s">
        <v>10</v>
      </c>
      <c r="C1188" s="3">
        <v>42711</v>
      </c>
      <c r="D1188" s="3">
        <v>42711</v>
      </c>
      <c r="E1188" s="3">
        <v>42719</v>
      </c>
      <c r="F1188" s="3"/>
      <c r="G1188">
        <v>28611.7</v>
      </c>
      <c r="H1188">
        <v>33189.5</v>
      </c>
      <c r="I1188">
        <v>3</v>
      </c>
    </row>
    <row r="1189" spans="1:9" x14ac:dyDescent="0.2">
      <c r="A1189" t="s">
        <v>41</v>
      </c>
      <c r="B1189" t="s">
        <v>10</v>
      </c>
      <c r="C1189" s="3">
        <v>42711</v>
      </c>
      <c r="D1189" s="3">
        <v>42711</v>
      </c>
      <c r="E1189" s="3">
        <v>42719</v>
      </c>
      <c r="F1189" s="3"/>
      <c r="G1189">
        <v>2141.5700000000002</v>
      </c>
      <c r="H1189">
        <v>2484.2199999999998</v>
      </c>
      <c r="I1189">
        <v>3</v>
      </c>
    </row>
    <row r="1190" spans="1:9" x14ac:dyDescent="0.2">
      <c r="A1190" t="s">
        <v>18</v>
      </c>
      <c r="B1190" t="s">
        <v>10</v>
      </c>
      <c r="C1190" s="3">
        <v>42710</v>
      </c>
      <c r="D1190" s="3">
        <v>42710</v>
      </c>
      <c r="E1190" s="3">
        <v>42740</v>
      </c>
      <c r="F1190" s="3"/>
      <c r="G1190">
        <v>36538</v>
      </c>
      <c r="H1190">
        <v>42384</v>
      </c>
      <c r="I1190">
        <v>3</v>
      </c>
    </row>
    <row r="1191" spans="1:9" x14ac:dyDescent="0.2">
      <c r="A1191" t="s">
        <v>18</v>
      </c>
      <c r="B1191" t="s">
        <v>10</v>
      </c>
      <c r="C1191" s="3">
        <v>42710</v>
      </c>
      <c r="D1191" s="3">
        <v>42710</v>
      </c>
      <c r="E1191" s="3">
        <v>42740</v>
      </c>
      <c r="F1191" s="3"/>
      <c r="G1191">
        <v>46976.7</v>
      </c>
      <c r="H1191">
        <v>54493</v>
      </c>
      <c r="I1191">
        <v>3</v>
      </c>
    </row>
    <row r="1192" spans="1:9" x14ac:dyDescent="0.2">
      <c r="A1192" t="s">
        <v>18</v>
      </c>
      <c r="B1192" t="s">
        <v>10</v>
      </c>
      <c r="C1192" s="3">
        <v>42710</v>
      </c>
      <c r="D1192" s="3">
        <v>42710</v>
      </c>
      <c r="E1192" s="3">
        <v>42740</v>
      </c>
      <c r="F1192" s="3"/>
      <c r="G1192">
        <v>46976.7</v>
      </c>
      <c r="H1192">
        <v>54493</v>
      </c>
      <c r="I1192">
        <v>3</v>
      </c>
    </row>
    <row r="1193" spans="1:9" x14ac:dyDescent="0.2">
      <c r="A1193" t="s">
        <v>18</v>
      </c>
      <c r="B1193" t="s">
        <v>10</v>
      </c>
      <c r="C1193" s="3">
        <v>42710</v>
      </c>
      <c r="D1193" s="3">
        <v>42710</v>
      </c>
      <c r="E1193" s="3">
        <v>42740</v>
      </c>
      <c r="F1193" s="3"/>
      <c r="G1193">
        <v>46976.7</v>
      </c>
      <c r="H1193">
        <v>54493</v>
      </c>
      <c r="I1193">
        <v>3</v>
      </c>
    </row>
    <row r="1194" spans="1:9" x14ac:dyDescent="0.2">
      <c r="A1194" t="s">
        <v>41</v>
      </c>
      <c r="B1194" t="s">
        <v>10</v>
      </c>
      <c r="C1194" s="3">
        <v>42710</v>
      </c>
      <c r="D1194" s="3">
        <v>42710</v>
      </c>
      <c r="E1194" s="3">
        <v>42718</v>
      </c>
      <c r="F1194" s="3"/>
      <c r="G1194">
        <v>6322.73</v>
      </c>
      <c r="H1194">
        <v>7334.46</v>
      </c>
      <c r="I1194">
        <v>3</v>
      </c>
    </row>
    <row r="1195" spans="1:9" x14ac:dyDescent="0.2">
      <c r="A1195" t="s">
        <v>41</v>
      </c>
      <c r="B1195" t="s">
        <v>10</v>
      </c>
      <c r="C1195" s="3">
        <v>42709</v>
      </c>
      <c r="D1195" s="3">
        <v>42709</v>
      </c>
      <c r="E1195" s="3">
        <v>42717</v>
      </c>
      <c r="F1195" s="3"/>
      <c r="G1195">
        <v>15071.1</v>
      </c>
      <c r="H1195">
        <v>17482.5</v>
      </c>
      <c r="I1195">
        <v>3</v>
      </c>
    </row>
    <row r="1196" spans="1:9" x14ac:dyDescent="0.2">
      <c r="A1196" t="s">
        <v>25</v>
      </c>
      <c r="B1196" t="s">
        <v>10</v>
      </c>
      <c r="C1196" s="3">
        <v>42709</v>
      </c>
      <c r="D1196" s="3">
        <v>42709</v>
      </c>
      <c r="E1196" s="3">
        <v>42739</v>
      </c>
      <c r="F1196" s="3"/>
      <c r="G1196">
        <v>28470</v>
      </c>
      <c r="H1196">
        <v>33025.199999999997</v>
      </c>
      <c r="I1196">
        <v>3</v>
      </c>
    </row>
    <row r="1197" spans="1:9" x14ac:dyDescent="0.2">
      <c r="A1197" t="s">
        <v>41</v>
      </c>
      <c r="B1197" t="s">
        <v>10</v>
      </c>
      <c r="C1197" s="3">
        <v>42709</v>
      </c>
      <c r="D1197" s="3">
        <v>42709</v>
      </c>
      <c r="E1197" s="3">
        <v>42717</v>
      </c>
      <c r="F1197" s="3"/>
      <c r="G1197">
        <v>996</v>
      </c>
      <c r="H1197">
        <v>1155.3599999999999</v>
      </c>
      <c r="I1197">
        <v>3</v>
      </c>
    </row>
    <row r="1198" spans="1:9" x14ac:dyDescent="0.2">
      <c r="A1198" t="s">
        <v>52</v>
      </c>
      <c r="B1198" t="s">
        <v>10</v>
      </c>
      <c r="C1198" s="3">
        <v>42709</v>
      </c>
      <c r="D1198" s="3">
        <v>42709</v>
      </c>
      <c r="E1198" s="3">
        <v>42716</v>
      </c>
      <c r="F1198" s="3"/>
      <c r="G1198">
        <v>11238</v>
      </c>
      <c r="H1198">
        <v>13036</v>
      </c>
      <c r="I1198">
        <v>1</v>
      </c>
    </row>
    <row r="1199" spans="1:9" x14ac:dyDescent="0.2">
      <c r="A1199" t="s">
        <v>36</v>
      </c>
      <c r="B1199" t="s">
        <v>10</v>
      </c>
      <c r="C1199" s="3">
        <v>42709</v>
      </c>
      <c r="D1199" s="3">
        <v>42709</v>
      </c>
      <c r="E1199" s="3">
        <v>42724</v>
      </c>
      <c r="F1199" s="3"/>
      <c r="G1199">
        <v>4416</v>
      </c>
      <c r="H1199">
        <v>5122.5600000000004</v>
      </c>
      <c r="I1199">
        <v>3</v>
      </c>
    </row>
    <row r="1200" spans="1:9" x14ac:dyDescent="0.2">
      <c r="A1200" t="s">
        <v>18</v>
      </c>
      <c r="B1200" t="s">
        <v>10</v>
      </c>
      <c r="C1200" s="3">
        <v>42706</v>
      </c>
      <c r="D1200" s="3">
        <v>42706</v>
      </c>
      <c r="E1200" s="3">
        <v>42736</v>
      </c>
      <c r="F1200" s="3"/>
      <c r="G1200">
        <v>8640</v>
      </c>
      <c r="H1200">
        <v>10022.4</v>
      </c>
      <c r="I1200">
        <v>3</v>
      </c>
    </row>
    <row r="1201" spans="1:9" x14ac:dyDescent="0.2">
      <c r="A1201" t="s">
        <v>43</v>
      </c>
      <c r="B1201" t="s">
        <v>10</v>
      </c>
      <c r="C1201" s="3">
        <v>42705</v>
      </c>
      <c r="D1201" s="3">
        <v>42705</v>
      </c>
      <c r="E1201" s="3">
        <v>42707</v>
      </c>
      <c r="F1201" s="3"/>
      <c r="G1201">
        <v>430</v>
      </c>
      <c r="H1201">
        <v>498.8</v>
      </c>
      <c r="I1201">
        <v>2</v>
      </c>
    </row>
    <row r="1202" spans="1:9" x14ac:dyDescent="0.2">
      <c r="A1202" t="s">
        <v>41</v>
      </c>
      <c r="B1202" t="s">
        <v>10</v>
      </c>
      <c r="C1202" s="3">
        <v>42705</v>
      </c>
      <c r="D1202" s="3">
        <v>42705</v>
      </c>
      <c r="E1202" s="3">
        <v>42713</v>
      </c>
      <c r="F1202" s="3"/>
      <c r="G1202">
        <v>880.89</v>
      </c>
      <c r="H1202">
        <v>1021.93</v>
      </c>
      <c r="I1202">
        <v>3</v>
      </c>
    </row>
    <row r="1203" spans="1:9" x14ac:dyDescent="0.2">
      <c r="A1203" t="s">
        <v>41</v>
      </c>
      <c r="B1203" t="s">
        <v>10</v>
      </c>
      <c r="C1203" s="3">
        <v>42705</v>
      </c>
      <c r="D1203" s="3">
        <v>42705</v>
      </c>
      <c r="E1203" s="3">
        <v>42713</v>
      </c>
      <c r="F1203" s="3"/>
      <c r="G1203">
        <v>12643.9</v>
      </c>
      <c r="H1203">
        <v>14667</v>
      </c>
      <c r="I1203">
        <v>3</v>
      </c>
    </row>
    <row r="1204" spans="1:9" x14ac:dyDescent="0.2">
      <c r="A1204" t="s">
        <v>41</v>
      </c>
      <c r="B1204" t="s">
        <v>10</v>
      </c>
      <c r="C1204" s="3">
        <v>42704</v>
      </c>
      <c r="D1204" s="3">
        <v>42704</v>
      </c>
      <c r="E1204" s="3">
        <v>42712</v>
      </c>
      <c r="F1204" s="3"/>
      <c r="G1204">
        <v>5425.2</v>
      </c>
      <c r="H1204">
        <v>6293.23</v>
      </c>
      <c r="I1204">
        <v>3</v>
      </c>
    </row>
    <row r="1205" spans="1:9" x14ac:dyDescent="0.2">
      <c r="A1205" t="s">
        <v>69</v>
      </c>
      <c r="B1205" t="s">
        <v>10</v>
      </c>
      <c r="C1205" s="3">
        <v>42703</v>
      </c>
      <c r="D1205" s="3">
        <v>42703</v>
      </c>
      <c r="E1205" s="3">
        <v>42718</v>
      </c>
      <c r="F1205" s="3"/>
      <c r="G1205">
        <v>4070</v>
      </c>
      <c r="H1205">
        <v>4721.2</v>
      </c>
      <c r="I1205">
        <v>3</v>
      </c>
    </row>
    <row r="1206" spans="1:9" x14ac:dyDescent="0.2">
      <c r="A1206" t="s">
        <v>18</v>
      </c>
      <c r="B1206" t="s">
        <v>10</v>
      </c>
      <c r="C1206" s="3">
        <v>42702</v>
      </c>
      <c r="D1206" s="3">
        <v>42702</v>
      </c>
      <c r="E1206" s="3">
        <v>42732</v>
      </c>
      <c r="F1206" s="3"/>
      <c r="G1206">
        <v>2420</v>
      </c>
      <c r="H1206">
        <v>2807.2</v>
      </c>
      <c r="I1206">
        <v>3</v>
      </c>
    </row>
    <row r="1207" spans="1:9" x14ac:dyDescent="0.2">
      <c r="A1207" t="s">
        <v>41</v>
      </c>
      <c r="B1207" t="s">
        <v>10</v>
      </c>
      <c r="C1207" s="3">
        <v>42702</v>
      </c>
      <c r="D1207" s="3">
        <v>42702</v>
      </c>
      <c r="E1207" s="3">
        <v>42710</v>
      </c>
      <c r="F1207" s="3"/>
      <c r="G1207">
        <v>7435.65</v>
      </c>
      <c r="H1207">
        <v>8625.2800000000007</v>
      </c>
      <c r="I1207">
        <v>3</v>
      </c>
    </row>
    <row r="1208" spans="1:9" x14ac:dyDescent="0.2">
      <c r="A1208" t="s">
        <v>13</v>
      </c>
      <c r="B1208" t="s">
        <v>10</v>
      </c>
      <c r="C1208" s="3">
        <v>42702</v>
      </c>
      <c r="D1208" s="3">
        <v>42702</v>
      </c>
      <c r="E1208" s="3">
        <v>42732</v>
      </c>
      <c r="F1208" s="3"/>
      <c r="G1208">
        <v>7910</v>
      </c>
      <c r="H1208">
        <v>9175.6</v>
      </c>
      <c r="I1208">
        <v>3</v>
      </c>
    </row>
    <row r="1209" spans="1:9" x14ac:dyDescent="0.2">
      <c r="A1209" t="s">
        <v>18</v>
      </c>
      <c r="B1209" t="s">
        <v>10</v>
      </c>
      <c r="C1209" s="3">
        <v>42698</v>
      </c>
      <c r="D1209" s="3">
        <v>42698</v>
      </c>
      <c r="E1209" s="3">
        <v>42728</v>
      </c>
      <c r="F1209" s="3"/>
      <c r="G1209">
        <v>2124</v>
      </c>
      <c r="H1209">
        <v>2463.84</v>
      </c>
      <c r="I1209">
        <v>3</v>
      </c>
    </row>
    <row r="1210" spans="1:9" x14ac:dyDescent="0.2">
      <c r="A1210" t="s">
        <v>41</v>
      </c>
      <c r="B1210" t="s">
        <v>10</v>
      </c>
      <c r="C1210" s="3">
        <v>42698</v>
      </c>
      <c r="D1210" s="3">
        <v>42698</v>
      </c>
      <c r="E1210" s="3">
        <v>42706</v>
      </c>
      <c r="F1210" s="3"/>
      <c r="G1210">
        <v>5909.76</v>
      </c>
      <c r="H1210">
        <v>6855.32</v>
      </c>
      <c r="I1210">
        <v>3</v>
      </c>
    </row>
    <row r="1211" spans="1:9" x14ac:dyDescent="0.2">
      <c r="A1211" t="s">
        <v>41</v>
      </c>
      <c r="B1211" t="s">
        <v>10</v>
      </c>
      <c r="C1211" s="3">
        <v>42698</v>
      </c>
      <c r="D1211" s="3">
        <v>42698</v>
      </c>
      <c r="E1211" s="3">
        <v>42706</v>
      </c>
      <c r="F1211" s="3"/>
      <c r="G1211">
        <v>60192.5</v>
      </c>
      <c r="H1211">
        <v>69823.399999999994</v>
      </c>
      <c r="I1211">
        <v>3</v>
      </c>
    </row>
    <row r="1212" spans="1:9" x14ac:dyDescent="0.2">
      <c r="A1212" t="s">
        <v>24</v>
      </c>
      <c r="B1212" t="s">
        <v>10</v>
      </c>
      <c r="C1212" s="3">
        <v>42698</v>
      </c>
      <c r="D1212" s="3">
        <v>42698</v>
      </c>
      <c r="E1212" s="3">
        <v>42698</v>
      </c>
      <c r="F1212" s="3"/>
      <c r="G1212">
        <v>1900</v>
      </c>
      <c r="H1212">
        <v>2204</v>
      </c>
      <c r="I1212">
        <v>3</v>
      </c>
    </row>
    <row r="1213" spans="1:9" x14ac:dyDescent="0.2">
      <c r="A1213" t="s">
        <v>18</v>
      </c>
      <c r="B1213" t="s">
        <v>10</v>
      </c>
      <c r="C1213" s="3">
        <v>42697</v>
      </c>
      <c r="D1213" s="3">
        <v>42697</v>
      </c>
      <c r="E1213" s="3">
        <v>42727</v>
      </c>
      <c r="F1213" s="3"/>
      <c r="G1213">
        <v>16340</v>
      </c>
      <c r="H1213">
        <v>18954.400000000001</v>
      </c>
      <c r="I1213">
        <v>3</v>
      </c>
    </row>
    <row r="1214" spans="1:9" x14ac:dyDescent="0.2">
      <c r="A1214" t="s">
        <v>18</v>
      </c>
      <c r="B1214" t="s">
        <v>10</v>
      </c>
      <c r="C1214" s="3">
        <v>42697</v>
      </c>
      <c r="D1214" s="3">
        <v>42697</v>
      </c>
      <c r="E1214" s="3">
        <v>42727</v>
      </c>
      <c r="F1214" s="3"/>
      <c r="G1214">
        <v>55257</v>
      </c>
      <c r="H1214">
        <v>64098.1</v>
      </c>
      <c r="I1214">
        <v>3</v>
      </c>
    </row>
    <row r="1215" spans="1:9" x14ac:dyDescent="0.2">
      <c r="A1215" t="s">
        <v>41</v>
      </c>
      <c r="B1215" t="s">
        <v>10</v>
      </c>
      <c r="C1215" s="3">
        <v>42697</v>
      </c>
      <c r="D1215" s="3">
        <v>42697</v>
      </c>
      <c r="E1215" s="3">
        <v>42705</v>
      </c>
      <c r="F1215" s="3"/>
      <c r="G1215">
        <v>2053.84</v>
      </c>
      <c r="H1215">
        <v>2382.4</v>
      </c>
      <c r="I1215">
        <v>3</v>
      </c>
    </row>
    <row r="1216" spans="1:9" x14ac:dyDescent="0.2">
      <c r="A1216" t="s">
        <v>25</v>
      </c>
      <c r="B1216" t="s">
        <v>10</v>
      </c>
      <c r="C1216" s="3">
        <v>42697</v>
      </c>
      <c r="D1216" s="3">
        <v>42697</v>
      </c>
      <c r="E1216" s="3">
        <v>42727</v>
      </c>
      <c r="F1216" s="3"/>
      <c r="G1216">
        <v>24484</v>
      </c>
      <c r="H1216">
        <v>28401.4</v>
      </c>
      <c r="I1216">
        <v>3</v>
      </c>
    </row>
    <row r="1217" spans="1:9" x14ac:dyDescent="0.2">
      <c r="A1217" t="s">
        <v>41</v>
      </c>
      <c r="B1217" t="s">
        <v>10</v>
      </c>
      <c r="C1217" s="3">
        <v>42696</v>
      </c>
      <c r="D1217" s="3">
        <v>42696</v>
      </c>
      <c r="E1217" s="3">
        <v>42704</v>
      </c>
      <c r="F1217" s="3"/>
      <c r="G1217">
        <v>22986.7</v>
      </c>
      <c r="H1217">
        <v>26664.5</v>
      </c>
      <c r="I1217">
        <v>3</v>
      </c>
    </row>
    <row r="1218" spans="1:9" x14ac:dyDescent="0.2">
      <c r="A1218" t="s">
        <v>18</v>
      </c>
      <c r="B1218" t="s">
        <v>10</v>
      </c>
      <c r="C1218" s="3">
        <v>42689</v>
      </c>
      <c r="D1218" s="3">
        <v>42689</v>
      </c>
      <c r="E1218" s="3">
        <v>42719</v>
      </c>
      <c r="F1218" s="3"/>
      <c r="G1218">
        <v>5220</v>
      </c>
      <c r="H1218">
        <v>6055.2</v>
      </c>
      <c r="I1218">
        <v>3</v>
      </c>
    </row>
    <row r="1219" spans="1:9" x14ac:dyDescent="0.2">
      <c r="A1219" t="s">
        <v>36</v>
      </c>
      <c r="B1219" t="s">
        <v>10</v>
      </c>
      <c r="C1219" s="3">
        <v>42689</v>
      </c>
      <c r="D1219" s="3">
        <v>42689</v>
      </c>
      <c r="E1219" s="3">
        <v>42704</v>
      </c>
      <c r="F1219" s="3"/>
      <c r="G1219">
        <v>13800</v>
      </c>
      <c r="H1219">
        <v>16008</v>
      </c>
      <c r="I1219">
        <v>3</v>
      </c>
    </row>
    <row r="1220" spans="1:9" x14ac:dyDescent="0.2">
      <c r="A1220" t="s">
        <v>18</v>
      </c>
      <c r="B1220" t="s">
        <v>10</v>
      </c>
      <c r="C1220" s="3">
        <v>42688</v>
      </c>
      <c r="D1220" s="3">
        <v>42688</v>
      </c>
      <c r="E1220" s="3">
        <v>42718</v>
      </c>
      <c r="F1220" s="3"/>
      <c r="G1220">
        <v>1696</v>
      </c>
      <c r="H1220">
        <v>1967.36</v>
      </c>
      <c r="I1220">
        <v>3</v>
      </c>
    </row>
    <row r="1221" spans="1:9" x14ac:dyDescent="0.2">
      <c r="A1221" t="s">
        <v>18</v>
      </c>
      <c r="B1221" t="s">
        <v>10</v>
      </c>
      <c r="C1221" s="3">
        <v>42688</v>
      </c>
      <c r="D1221" s="3">
        <v>42688</v>
      </c>
      <c r="E1221" s="3">
        <v>42718</v>
      </c>
      <c r="F1221" s="3"/>
      <c r="G1221">
        <v>24204</v>
      </c>
      <c r="H1221">
        <v>28076.6</v>
      </c>
      <c r="I1221">
        <v>3</v>
      </c>
    </row>
    <row r="1222" spans="1:9" x14ac:dyDescent="0.2">
      <c r="A1222" t="s">
        <v>70</v>
      </c>
      <c r="B1222" t="s">
        <v>10</v>
      </c>
      <c r="C1222" s="3">
        <v>42684</v>
      </c>
      <c r="D1222" s="3">
        <v>42684</v>
      </c>
      <c r="E1222" s="3">
        <v>42684</v>
      </c>
      <c r="F1222" s="3"/>
      <c r="G1222">
        <v>54310.3</v>
      </c>
      <c r="H1222">
        <v>63000</v>
      </c>
      <c r="I1222">
        <v>1</v>
      </c>
    </row>
    <row r="1223" spans="1:9" x14ac:dyDescent="0.2">
      <c r="A1223" t="s">
        <v>20</v>
      </c>
      <c r="B1223" t="s">
        <v>10</v>
      </c>
      <c r="C1223" s="3">
        <v>42683</v>
      </c>
      <c r="D1223" s="3">
        <v>42683</v>
      </c>
      <c r="E1223" s="3">
        <v>42728</v>
      </c>
      <c r="F1223" s="3"/>
      <c r="G1223">
        <v>19146</v>
      </c>
      <c r="H1223">
        <v>22209.3</v>
      </c>
      <c r="I1223">
        <v>3</v>
      </c>
    </row>
    <row r="1224" spans="1:9" x14ac:dyDescent="0.2">
      <c r="A1224" t="s">
        <v>44</v>
      </c>
      <c r="B1224" t="s">
        <v>10</v>
      </c>
      <c r="C1224" s="3">
        <v>42682</v>
      </c>
      <c r="D1224" s="3">
        <v>42682</v>
      </c>
      <c r="E1224" s="3">
        <v>42689</v>
      </c>
      <c r="F1224" s="3"/>
      <c r="G1224">
        <v>77064.100000000006</v>
      </c>
      <c r="H1224">
        <v>89394.3</v>
      </c>
      <c r="I1224">
        <v>2</v>
      </c>
    </row>
    <row r="1225" spans="1:9" x14ac:dyDescent="0.2">
      <c r="A1225" t="s">
        <v>18</v>
      </c>
      <c r="B1225" t="s">
        <v>10</v>
      </c>
      <c r="C1225" s="3">
        <v>42677</v>
      </c>
      <c r="D1225" s="3">
        <v>42677</v>
      </c>
      <c r="E1225" s="3">
        <v>42707</v>
      </c>
      <c r="F1225" s="3"/>
      <c r="G1225">
        <v>2700</v>
      </c>
      <c r="H1225">
        <v>3132</v>
      </c>
      <c r="I1225">
        <v>3</v>
      </c>
    </row>
    <row r="1226" spans="1:9" x14ac:dyDescent="0.2">
      <c r="A1226" t="s">
        <v>18</v>
      </c>
      <c r="B1226" t="s">
        <v>10</v>
      </c>
      <c r="C1226" s="3">
        <v>42677</v>
      </c>
      <c r="D1226" s="3">
        <v>42677</v>
      </c>
      <c r="E1226" s="3">
        <v>42707</v>
      </c>
      <c r="F1226" s="3"/>
      <c r="G1226">
        <v>25766</v>
      </c>
      <c r="H1226">
        <v>29888.5</v>
      </c>
      <c r="I1226">
        <v>3</v>
      </c>
    </row>
    <row r="1227" spans="1:9" x14ac:dyDescent="0.2">
      <c r="A1227" t="s">
        <v>18</v>
      </c>
      <c r="B1227" t="s">
        <v>10</v>
      </c>
      <c r="C1227" s="3">
        <v>42677</v>
      </c>
      <c r="D1227" s="3">
        <v>42677</v>
      </c>
      <c r="E1227" s="3">
        <v>42707</v>
      </c>
      <c r="F1227" s="3"/>
      <c r="G1227">
        <v>42642</v>
      </c>
      <c r="H1227">
        <v>49464.7</v>
      </c>
      <c r="I1227">
        <v>3</v>
      </c>
    </row>
    <row r="1228" spans="1:9" x14ac:dyDescent="0.2">
      <c r="A1228" t="s">
        <v>18</v>
      </c>
      <c r="B1228" t="s">
        <v>10</v>
      </c>
      <c r="C1228" s="3">
        <v>42677</v>
      </c>
      <c r="D1228" s="3">
        <v>42677</v>
      </c>
      <c r="E1228" s="3">
        <v>42707</v>
      </c>
      <c r="F1228" s="3"/>
      <c r="G1228">
        <v>19457</v>
      </c>
      <c r="H1228">
        <v>22570.1</v>
      </c>
      <c r="I1228">
        <v>3</v>
      </c>
    </row>
    <row r="1229" spans="1:9" x14ac:dyDescent="0.2">
      <c r="A1229" t="s">
        <v>25</v>
      </c>
      <c r="B1229" t="s">
        <v>10</v>
      </c>
      <c r="C1229" s="3">
        <v>42675</v>
      </c>
      <c r="D1229" s="3">
        <v>42675</v>
      </c>
      <c r="E1229" s="3">
        <v>42705</v>
      </c>
      <c r="F1229" s="3"/>
      <c r="G1229">
        <v>9264</v>
      </c>
      <c r="H1229">
        <v>10746.2</v>
      </c>
      <c r="I1229">
        <v>3</v>
      </c>
    </row>
    <row r="1230" spans="1:9" x14ac:dyDescent="0.2">
      <c r="A1230" t="s">
        <v>13</v>
      </c>
      <c r="B1230" t="s">
        <v>10</v>
      </c>
      <c r="C1230" s="3">
        <v>42674</v>
      </c>
      <c r="D1230" s="3">
        <v>42674</v>
      </c>
      <c r="E1230" s="3">
        <v>42704</v>
      </c>
      <c r="F1230" s="3"/>
      <c r="G1230">
        <v>1944</v>
      </c>
      <c r="H1230">
        <v>2255.04</v>
      </c>
      <c r="I1230">
        <v>3</v>
      </c>
    </row>
    <row r="1231" spans="1:9" x14ac:dyDescent="0.2">
      <c r="A1231" t="s">
        <v>18</v>
      </c>
      <c r="B1231" t="s">
        <v>10</v>
      </c>
      <c r="C1231" s="3">
        <v>42674</v>
      </c>
      <c r="D1231" s="3">
        <v>42674</v>
      </c>
      <c r="E1231" s="3">
        <v>42704</v>
      </c>
      <c r="F1231" s="3"/>
      <c r="G1231">
        <v>5612</v>
      </c>
      <c r="H1231">
        <v>6509.92</v>
      </c>
      <c r="I1231">
        <v>3</v>
      </c>
    </row>
    <row r="1232" spans="1:9" x14ac:dyDescent="0.2">
      <c r="A1232" t="s">
        <v>71</v>
      </c>
      <c r="B1232" t="s">
        <v>10</v>
      </c>
      <c r="C1232" s="3">
        <v>42671</v>
      </c>
      <c r="D1232" s="3">
        <v>42671</v>
      </c>
      <c r="E1232" s="3">
        <v>42686</v>
      </c>
      <c r="F1232" s="3"/>
      <c r="G1232">
        <v>25340</v>
      </c>
      <c r="H1232">
        <v>29394.400000000001</v>
      </c>
      <c r="I1232">
        <v>2</v>
      </c>
    </row>
    <row r="1233" spans="1:9" x14ac:dyDescent="0.2">
      <c r="A1233" t="s">
        <v>41</v>
      </c>
      <c r="B1233" t="s">
        <v>10</v>
      </c>
      <c r="C1233" s="3">
        <v>42671</v>
      </c>
      <c r="D1233" s="3">
        <v>42671</v>
      </c>
      <c r="E1233" s="3">
        <v>42679</v>
      </c>
      <c r="F1233" s="3"/>
      <c r="G1233">
        <v>20097.2</v>
      </c>
      <c r="H1233">
        <v>23312.799999999999</v>
      </c>
      <c r="I1233">
        <v>3</v>
      </c>
    </row>
    <row r="1234" spans="1:9" x14ac:dyDescent="0.2">
      <c r="A1234" t="s">
        <v>18</v>
      </c>
      <c r="B1234" t="s">
        <v>10</v>
      </c>
      <c r="C1234" s="3">
        <v>42669</v>
      </c>
      <c r="D1234" s="3">
        <v>42669</v>
      </c>
      <c r="E1234" s="3">
        <v>42699</v>
      </c>
      <c r="F1234" s="3"/>
      <c r="G1234">
        <v>2874</v>
      </c>
      <c r="H1234">
        <v>3333.84</v>
      </c>
      <c r="I1234">
        <v>3</v>
      </c>
    </row>
    <row r="1235" spans="1:9" x14ac:dyDescent="0.2">
      <c r="A1235" t="s">
        <v>43</v>
      </c>
      <c r="B1235" t="s">
        <v>10</v>
      </c>
      <c r="C1235" s="3">
        <v>42669</v>
      </c>
      <c r="D1235" s="3">
        <v>42669</v>
      </c>
      <c r="E1235" s="3">
        <v>42671</v>
      </c>
      <c r="F1235" s="3"/>
      <c r="G1235">
        <v>2144</v>
      </c>
      <c r="H1235">
        <v>2487.04</v>
      </c>
      <c r="I1235">
        <v>2</v>
      </c>
    </row>
    <row r="1236" spans="1:9" x14ac:dyDescent="0.2">
      <c r="A1236" t="s">
        <v>18</v>
      </c>
      <c r="B1236" t="s">
        <v>10</v>
      </c>
      <c r="C1236" s="3">
        <v>42668</v>
      </c>
      <c r="D1236" s="3">
        <v>42668</v>
      </c>
      <c r="E1236" s="3">
        <v>42698</v>
      </c>
      <c r="F1236" s="3"/>
      <c r="G1236">
        <v>3031</v>
      </c>
      <c r="H1236">
        <v>3515.96</v>
      </c>
      <c r="I1236">
        <v>3</v>
      </c>
    </row>
    <row r="1237" spans="1:9" x14ac:dyDescent="0.2">
      <c r="A1237" t="s">
        <v>36</v>
      </c>
      <c r="B1237" t="s">
        <v>10</v>
      </c>
      <c r="C1237" s="3">
        <v>42667</v>
      </c>
      <c r="D1237" s="3">
        <v>42667</v>
      </c>
      <c r="E1237" s="3">
        <v>42682</v>
      </c>
      <c r="F1237" s="3"/>
      <c r="G1237">
        <v>765</v>
      </c>
      <c r="H1237">
        <v>887.4</v>
      </c>
      <c r="I1237">
        <v>3</v>
      </c>
    </row>
    <row r="1238" spans="1:9" x14ac:dyDescent="0.2">
      <c r="A1238" t="s">
        <v>25</v>
      </c>
      <c r="B1238" t="s">
        <v>10</v>
      </c>
      <c r="C1238" s="3">
        <v>42667</v>
      </c>
      <c r="D1238" s="3">
        <v>42667</v>
      </c>
      <c r="E1238" s="3">
        <v>42697</v>
      </c>
      <c r="F1238" s="3"/>
      <c r="G1238">
        <v>19026.099999999999</v>
      </c>
      <c r="H1238">
        <v>22070.3</v>
      </c>
      <c r="I1238">
        <v>3</v>
      </c>
    </row>
    <row r="1239" spans="1:9" x14ac:dyDescent="0.2">
      <c r="A1239" t="s">
        <v>52</v>
      </c>
      <c r="B1239" t="s">
        <v>10</v>
      </c>
      <c r="C1239" s="3">
        <v>42663</v>
      </c>
      <c r="D1239" s="3">
        <v>42663</v>
      </c>
      <c r="E1239" s="3">
        <v>42670</v>
      </c>
      <c r="F1239" s="3"/>
      <c r="G1239">
        <v>532</v>
      </c>
      <c r="H1239">
        <v>617.12</v>
      </c>
      <c r="I1239">
        <v>1</v>
      </c>
    </row>
    <row r="1240" spans="1:9" x14ac:dyDescent="0.2">
      <c r="A1240" t="s">
        <v>18</v>
      </c>
      <c r="B1240" t="s">
        <v>10</v>
      </c>
      <c r="C1240" s="3">
        <v>42662</v>
      </c>
      <c r="D1240" s="3">
        <v>42661</v>
      </c>
      <c r="E1240" s="3">
        <v>42692</v>
      </c>
      <c r="F1240" s="3"/>
      <c r="G1240">
        <v>747</v>
      </c>
      <c r="H1240">
        <v>866.52</v>
      </c>
      <c r="I1240">
        <v>3</v>
      </c>
    </row>
    <row r="1241" spans="1:9" x14ac:dyDescent="0.2">
      <c r="A1241" t="s">
        <v>41</v>
      </c>
      <c r="B1241" t="s">
        <v>10</v>
      </c>
      <c r="C1241" s="3">
        <v>42661</v>
      </c>
      <c r="D1241" s="3">
        <v>42661</v>
      </c>
      <c r="E1241" s="3">
        <v>42669</v>
      </c>
      <c r="F1241" s="3"/>
      <c r="G1241">
        <v>30881.599999999999</v>
      </c>
      <c r="H1241">
        <v>35822.699999999997</v>
      </c>
      <c r="I1241">
        <v>3</v>
      </c>
    </row>
    <row r="1242" spans="1:9" x14ac:dyDescent="0.2">
      <c r="A1242" t="s">
        <v>18</v>
      </c>
      <c r="B1242" t="s">
        <v>10</v>
      </c>
      <c r="C1242" s="3">
        <v>42657</v>
      </c>
      <c r="D1242" s="3">
        <v>42657</v>
      </c>
      <c r="E1242" s="3">
        <v>42687</v>
      </c>
      <c r="F1242" s="3"/>
      <c r="G1242">
        <v>2520</v>
      </c>
      <c r="H1242">
        <v>2923.2</v>
      </c>
      <c r="I1242">
        <v>3</v>
      </c>
    </row>
    <row r="1243" spans="1:9" x14ac:dyDescent="0.2">
      <c r="A1243" t="s">
        <v>41</v>
      </c>
      <c r="B1243" t="s">
        <v>10</v>
      </c>
      <c r="C1243" s="3">
        <v>42655</v>
      </c>
      <c r="D1243" s="3">
        <v>42655</v>
      </c>
      <c r="E1243" s="3">
        <v>42663</v>
      </c>
      <c r="F1243" s="3"/>
      <c r="G1243">
        <v>16055.1</v>
      </c>
      <c r="H1243">
        <v>18623.900000000001</v>
      </c>
      <c r="I1243">
        <v>3</v>
      </c>
    </row>
    <row r="1244" spans="1:9" x14ac:dyDescent="0.2">
      <c r="A1244" t="s">
        <v>13</v>
      </c>
      <c r="B1244" t="s">
        <v>10</v>
      </c>
      <c r="C1244" s="3">
        <v>42655</v>
      </c>
      <c r="D1244" s="3">
        <v>42655</v>
      </c>
      <c r="E1244" s="3">
        <v>42685</v>
      </c>
      <c r="F1244" s="3"/>
      <c r="G1244">
        <v>14616</v>
      </c>
      <c r="H1244">
        <v>16954.5</v>
      </c>
      <c r="I1244">
        <v>3</v>
      </c>
    </row>
    <row r="1245" spans="1:9" x14ac:dyDescent="0.2">
      <c r="A1245" t="s">
        <v>41</v>
      </c>
      <c r="B1245" t="s">
        <v>10</v>
      </c>
      <c r="C1245" s="3">
        <v>42654</v>
      </c>
      <c r="D1245" s="3">
        <v>42654</v>
      </c>
      <c r="E1245" s="3">
        <v>42662</v>
      </c>
      <c r="F1245" s="3"/>
      <c r="G1245">
        <v>33472.9</v>
      </c>
      <c r="H1245">
        <v>38828.699999999997</v>
      </c>
      <c r="I1245">
        <v>3</v>
      </c>
    </row>
    <row r="1246" spans="1:9" x14ac:dyDescent="0.2">
      <c r="A1246" t="s">
        <v>25</v>
      </c>
      <c r="B1246" t="s">
        <v>10</v>
      </c>
      <c r="C1246" s="3">
        <v>42653</v>
      </c>
      <c r="D1246" s="3">
        <v>42653</v>
      </c>
      <c r="E1246" s="3">
        <v>42683</v>
      </c>
      <c r="F1246" s="3"/>
      <c r="G1246">
        <v>14042</v>
      </c>
      <c r="H1246">
        <v>16288.7</v>
      </c>
      <c r="I1246">
        <v>3</v>
      </c>
    </row>
    <row r="1247" spans="1:9" x14ac:dyDescent="0.2">
      <c r="A1247" t="s">
        <v>41</v>
      </c>
      <c r="B1247" t="s">
        <v>10</v>
      </c>
      <c r="C1247" s="3">
        <v>42653</v>
      </c>
      <c r="D1247" s="3">
        <v>42653</v>
      </c>
      <c r="E1247" s="3">
        <v>42661</v>
      </c>
      <c r="F1247" s="3"/>
      <c r="G1247">
        <v>47572.800000000003</v>
      </c>
      <c r="H1247">
        <v>55184.5</v>
      </c>
      <c r="I1247">
        <v>3</v>
      </c>
    </row>
    <row r="1248" spans="1:9" x14ac:dyDescent="0.2">
      <c r="A1248" t="s">
        <v>41</v>
      </c>
      <c r="B1248" t="s">
        <v>10</v>
      </c>
      <c r="C1248" s="3">
        <v>42653</v>
      </c>
      <c r="D1248" s="3">
        <v>42653</v>
      </c>
      <c r="E1248" s="3">
        <v>42661</v>
      </c>
      <c r="F1248" s="3"/>
      <c r="G1248">
        <v>3109.95</v>
      </c>
      <c r="H1248">
        <v>3607.5</v>
      </c>
      <c r="I1248">
        <v>3</v>
      </c>
    </row>
    <row r="1249" spans="1:9" x14ac:dyDescent="0.2">
      <c r="A1249" t="s">
        <v>41</v>
      </c>
      <c r="B1249" t="s">
        <v>10</v>
      </c>
      <c r="C1249" s="3">
        <v>42653</v>
      </c>
      <c r="D1249" s="3">
        <v>42653</v>
      </c>
      <c r="E1249" s="3">
        <v>42661</v>
      </c>
      <c r="F1249" s="3"/>
      <c r="G1249">
        <v>2111.7800000000002</v>
      </c>
      <c r="H1249">
        <v>2449.64</v>
      </c>
      <c r="I1249">
        <v>3</v>
      </c>
    </row>
    <row r="1250" spans="1:9" x14ac:dyDescent="0.2">
      <c r="A1250" t="s">
        <v>39</v>
      </c>
      <c r="B1250" t="s">
        <v>10</v>
      </c>
      <c r="C1250" s="3">
        <v>42653</v>
      </c>
      <c r="D1250" s="3">
        <v>42653</v>
      </c>
      <c r="E1250" s="3">
        <v>42661</v>
      </c>
      <c r="F1250" s="3"/>
      <c r="G1250">
        <v>10525.2</v>
      </c>
      <c r="H1250">
        <v>12209.2</v>
      </c>
      <c r="I1250">
        <v>3</v>
      </c>
    </row>
    <row r="1251" spans="1:9" x14ac:dyDescent="0.2">
      <c r="A1251" t="s">
        <v>18</v>
      </c>
      <c r="B1251" t="s">
        <v>10</v>
      </c>
      <c r="C1251" s="3">
        <v>42653</v>
      </c>
      <c r="D1251" s="3">
        <v>42653</v>
      </c>
      <c r="E1251" s="3">
        <v>42683</v>
      </c>
      <c r="F1251" s="3"/>
      <c r="G1251">
        <v>21993</v>
      </c>
      <c r="H1251">
        <v>25511.8</v>
      </c>
      <c r="I1251">
        <v>3</v>
      </c>
    </row>
    <row r="1252" spans="1:9" x14ac:dyDescent="0.2">
      <c r="A1252" t="s">
        <v>44</v>
      </c>
      <c r="B1252" t="s">
        <v>10</v>
      </c>
      <c r="C1252" s="3">
        <v>42646</v>
      </c>
      <c r="D1252" s="3">
        <v>42646</v>
      </c>
      <c r="E1252" s="3">
        <v>42653</v>
      </c>
      <c r="F1252" s="3"/>
      <c r="G1252">
        <v>16066</v>
      </c>
      <c r="H1252">
        <v>18636.5</v>
      </c>
      <c r="I1252">
        <v>2</v>
      </c>
    </row>
    <row r="1253" spans="1:9" x14ac:dyDescent="0.2">
      <c r="A1253" t="s">
        <v>41</v>
      </c>
      <c r="B1253" t="s">
        <v>10</v>
      </c>
      <c r="C1253" s="3">
        <v>42646</v>
      </c>
      <c r="D1253" s="3">
        <v>42646</v>
      </c>
      <c r="E1253" s="3">
        <v>42654</v>
      </c>
      <c r="F1253" s="3"/>
      <c r="G1253">
        <v>70436.899999999994</v>
      </c>
      <c r="H1253">
        <v>81706.7</v>
      </c>
      <c r="I1253">
        <v>3</v>
      </c>
    </row>
    <row r="1254" spans="1:9" x14ac:dyDescent="0.2">
      <c r="A1254" t="s">
        <v>18</v>
      </c>
      <c r="B1254" t="s">
        <v>10</v>
      </c>
      <c r="C1254" s="3">
        <v>42643</v>
      </c>
      <c r="D1254" s="3">
        <v>42643</v>
      </c>
      <c r="E1254" s="3">
        <v>42673</v>
      </c>
      <c r="F1254" s="3"/>
      <c r="G1254">
        <v>1162</v>
      </c>
      <c r="H1254">
        <v>1347.92</v>
      </c>
      <c r="I1254">
        <v>3</v>
      </c>
    </row>
    <row r="1255" spans="1:9" x14ac:dyDescent="0.2">
      <c r="A1255" t="s">
        <v>13</v>
      </c>
      <c r="B1255" t="s">
        <v>10</v>
      </c>
      <c r="C1255" s="3">
        <v>42642</v>
      </c>
      <c r="D1255" s="3">
        <v>42642</v>
      </c>
      <c r="E1255" s="3">
        <v>42672</v>
      </c>
      <c r="F1255" s="3"/>
      <c r="G1255">
        <v>9550</v>
      </c>
      <c r="H1255">
        <v>11078</v>
      </c>
      <c r="I1255">
        <v>3</v>
      </c>
    </row>
    <row r="1256" spans="1:9" x14ac:dyDescent="0.2">
      <c r="A1256" t="s">
        <v>41</v>
      </c>
      <c r="B1256" t="s">
        <v>10</v>
      </c>
      <c r="C1256" s="3">
        <v>42641</v>
      </c>
      <c r="D1256" s="3">
        <v>42641</v>
      </c>
      <c r="E1256" s="3">
        <v>42649</v>
      </c>
      <c r="F1256" s="3"/>
      <c r="G1256">
        <v>28208.9</v>
      </c>
      <c r="H1256">
        <v>32722.400000000001</v>
      </c>
      <c r="I1256">
        <v>3</v>
      </c>
    </row>
    <row r="1257" spans="1:9" x14ac:dyDescent="0.2">
      <c r="A1257" t="s">
        <v>41</v>
      </c>
      <c r="B1257" t="s">
        <v>10</v>
      </c>
      <c r="C1257" s="3">
        <v>42640</v>
      </c>
      <c r="D1257" s="3">
        <v>42640</v>
      </c>
      <c r="E1257" s="3">
        <v>42648</v>
      </c>
      <c r="F1257" s="3"/>
      <c r="G1257">
        <v>49282.6</v>
      </c>
      <c r="H1257">
        <v>57167.8</v>
      </c>
      <c r="I1257">
        <v>3</v>
      </c>
    </row>
    <row r="1258" spans="1:9" x14ac:dyDescent="0.2">
      <c r="A1258" t="s">
        <v>36</v>
      </c>
      <c r="B1258" t="s">
        <v>10</v>
      </c>
      <c r="C1258" s="3">
        <v>42639</v>
      </c>
      <c r="D1258" s="3">
        <v>42639</v>
      </c>
      <c r="E1258" s="3">
        <v>42654</v>
      </c>
      <c r="F1258" s="3"/>
      <c r="G1258">
        <v>1410</v>
      </c>
      <c r="H1258">
        <v>1635.6</v>
      </c>
      <c r="I1258">
        <v>3</v>
      </c>
    </row>
    <row r="1259" spans="1:9" x14ac:dyDescent="0.2">
      <c r="A1259" t="s">
        <v>18</v>
      </c>
      <c r="B1259" t="s">
        <v>10</v>
      </c>
      <c r="C1259" s="3">
        <v>42634</v>
      </c>
      <c r="D1259" s="3">
        <v>42634</v>
      </c>
      <c r="E1259" s="3">
        <v>42664</v>
      </c>
      <c r="F1259" s="3"/>
      <c r="G1259">
        <v>2700</v>
      </c>
      <c r="H1259">
        <v>3132</v>
      </c>
      <c r="I1259">
        <v>3</v>
      </c>
    </row>
    <row r="1260" spans="1:9" x14ac:dyDescent="0.2">
      <c r="A1260" t="s">
        <v>25</v>
      </c>
      <c r="B1260" t="s">
        <v>10</v>
      </c>
      <c r="C1260" s="3">
        <v>42634</v>
      </c>
      <c r="D1260" s="3">
        <v>42634</v>
      </c>
      <c r="E1260" s="3">
        <v>42664</v>
      </c>
      <c r="F1260" s="3"/>
      <c r="G1260">
        <v>13494</v>
      </c>
      <c r="H1260">
        <v>15653</v>
      </c>
      <c r="I1260">
        <v>3</v>
      </c>
    </row>
    <row r="1261" spans="1:9" x14ac:dyDescent="0.2">
      <c r="A1261" t="s">
        <v>44</v>
      </c>
      <c r="B1261" t="s">
        <v>10</v>
      </c>
      <c r="C1261" s="3">
        <v>42633</v>
      </c>
      <c r="D1261" s="3">
        <v>42633</v>
      </c>
      <c r="E1261" s="3">
        <v>42640</v>
      </c>
      <c r="F1261" s="3"/>
      <c r="G1261">
        <v>45030</v>
      </c>
      <c r="H1261">
        <v>52234.8</v>
      </c>
      <c r="I1261">
        <v>2</v>
      </c>
    </row>
    <row r="1262" spans="1:9" x14ac:dyDescent="0.2">
      <c r="A1262" t="s">
        <v>13</v>
      </c>
      <c r="B1262" t="s">
        <v>10</v>
      </c>
      <c r="C1262" s="3">
        <v>42627</v>
      </c>
      <c r="D1262" s="3">
        <v>42627</v>
      </c>
      <c r="E1262" s="3">
        <v>42657</v>
      </c>
      <c r="F1262" s="3"/>
      <c r="G1262">
        <v>4198</v>
      </c>
      <c r="H1262">
        <v>4869.68</v>
      </c>
      <c r="I1262">
        <v>3</v>
      </c>
    </row>
    <row r="1263" spans="1:9" x14ac:dyDescent="0.2">
      <c r="A1263" t="s">
        <v>43</v>
      </c>
      <c r="B1263" t="s">
        <v>10</v>
      </c>
      <c r="C1263" s="3">
        <v>42626</v>
      </c>
      <c r="D1263" s="3">
        <v>42626</v>
      </c>
      <c r="E1263" s="3">
        <v>42628</v>
      </c>
      <c r="F1263" s="3"/>
      <c r="G1263">
        <v>528</v>
      </c>
      <c r="H1263">
        <v>612.48</v>
      </c>
      <c r="I1263">
        <v>2</v>
      </c>
    </row>
    <row r="1264" spans="1:9" x14ac:dyDescent="0.2">
      <c r="A1264" t="s">
        <v>72</v>
      </c>
      <c r="B1264" t="s">
        <v>10</v>
      </c>
      <c r="C1264" s="3">
        <v>42620</v>
      </c>
      <c r="D1264" s="3">
        <v>42620</v>
      </c>
      <c r="E1264" s="3">
        <v>42635</v>
      </c>
      <c r="F1264" s="3"/>
      <c r="G1264">
        <v>27000</v>
      </c>
      <c r="H1264">
        <v>31320</v>
      </c>
      <c r="I1264">
        <v>2</v>
      </c>
    </row>
    <row r="1265" spans="1:9" x14ac:dyDescent="0.2">
      <c r="A1265" t="s">
        <v>43</v>
      </c>
      <c r="B1265" t="s">
        <v>10</v>
      </c>
      <c r="C1265" s="3">
        <v>42620</v>
      </c>
      <c r="D1265" s="3">
        <v>42620</v>
      </c>
      <c r="E1265" s="3">
        <v>42622</v>
      </c>
      <c r="F1265" s="3"/>
      <c r="G1265">
        <v>1924</v>
      </c>
      <c r="H1265">
        <v>2231.84</v>
      </c>
      <c r="I1265">
        <v>2</v>
      </c>
    </row>
    <row r="1266" spans="1:9" x14ac:dyDescent="0.2">
      <c r="A1266" t="s">
        <v>13</v>
      </c>
      <c r="B1266" t="s">
        <v>10</v>
      </c>
      <c r="C1266" s="3">
        <v>42620</v>
      </c>
      <c r="D1266" s="3">
        <v>42620</v>
      </c>
      <c r="E1266" s="3">
        <v>42650</v>
      </c>
      <c r="F1266" s="3"/>
      <c r="G1266">
        <v>6504</v>
      </c>
      <c r="H1266">
        <v>7544.64</v>
      </c>
      <c r="I1266">
        <v>3</v>
      </c>
    </row>
    <row r="1267" spans="1:9" x14ac:dyDescent="0.2">
      <c r="A1267" t="s">
        <v>20</v>
      </c>
      <c r="B1267" t="s">
        <v>10</v>
      </c>
      <c r="C1267" s="3">
        <v>42619</v>
      </c>
      <c r="D1267" s="3">
        <v>42619</v>
      </c>
      <c r="E1267" s="3">
        <v>42664</v>
      </c>
      <c r="F1267" s="3"/>
      <c r="G1267">
        <v>26757</v>
      </c>
      <c r="H1267">
        <v>31038.1</v>
      </c>
      <c r="I1267">
        <v>3</v>
      </c>
    </row>
    <row r="1268" spans="1:9" x14ac:dyDescent="0.2">
      <c r="A1268" t="s">
        <v>41</v>
      </c>
      <c r="B1268" t="s">
        <v>10</v>
      </c>
      <c r="C1268" s="3">
        <v>42619</v>
      </c>
      <c r="D1268" s="3">
        <v>42619</v>
      </c>
      <c r="E1268" s="3">
        <v>42627</v>
      </c>
      <c r="F1268" s="3"/>
      <c r="G1268">
        <v>9733.7999999999993</v>
      </c>
      <c r="H1268">
        <v>11291.1</v>
      </c>
      <c r="I1268">
        <v>3</v>
      </c>
    </row>
    <row r="1269" spans="1:9" x14ac:dyDescent="0.2">
      <c r="A1269" t="s">
        <v>22</v>
      </c>
      <c r="B1269" t="s">
        <v>10</v>
      </c>
      <c r="C1269" s="3">
        <v>42619</v>
      </c>
      <c r="D1269" s="3">
        <v>42619</v>
      </c>
      <c r="E1269" s="3">
        <v>42679</v>
      </c>
      <c r="F1269" s="3"/>
      <c r="G1269">
        <v>201714</v>
      </c>
      <c r="H1269">
        <v>233988</v>
      </c>
      <c r="I1269">
        <v>3</v>
      </c>
    </row>
    <row r="1270" spans="1:9" x14ac:dyDescent="0.2">
      <c r="A1270" t="s">
        <v>22</v>
      </c>
      <c r="B1270" t="s">
        <v>10</v>
      </c>
      <c r="C1270" s="3">
        <v>42619</v>
      </c>
      <c r="D1270" s="3">
        <v>42619</v>
      </c>
      <c r="E1270" s="3">
        <v>42679</v>
      </c>
      <c r="F1270" s="3"/>
      <c r="G1270">
        <v>4780</v>
      </c>
      <c r="H1270">
        <v>5544.8</v>
      </c>
      <c r="I1270">
        <v>3</v>
      </c>
    </row>
    <row r="1271" spans="1:9" x14ac:dyDescent="0.2">
      <c r="A1271" t="s">
        <v>41</v>
      </c>
      <c r="B1271" t="s">
        <v>10</v>
      </c>
      <c r="C1271" s="3">
        <v>42618</v>
      </c>
      <c r="D1271" s="3">
        <v>42618</v>
      </c>
      <c r="E1271" s="3">
        <v>42626</v>
      </c>
      <c r="F1271" s="3"/>
      <c r="G1271">
        <v>4410.8999999999996</v>
      </c>
      <c r="H1271">
        <v>5116.6400000000003</v>
      </c>
      <c r="I1271">
        <v>3</v>
      </c>
    </row>
    <row r="1272" spans="1:9" x14ac:dyDescent="0.2">
      <c r="A1272" t="s">
        <v>41</v>
      </c>
      <c r="B1272" t="s">
        <v>10</v>
      </c>
      <c r="C1272" s="3">
        <v>42618</v>
      </c>
      <c r="D1272" s="3">
        <v>42618</v>
      </c>
      <c r="E1272" s="3">
        <v>42626</v>
      </c>
      <c r="F1272" s="3"/>
      <c r="G1272">
        <v>2450.5</v>
      </c>
      <c r="H1272">
        <v>2842.58</v>
      </c>
      <c r="I1272">
        <v>3</v>
      </c>
    </row>
    <row r="1273" spans="1:9" x14ac:dyDescent="0.2">
      <c r="A1273" t="s">
        <v>41</v>
      </c>
      <c r="B1273" t="s">
        <v>10</v>
      </c>
      <c r="C1273" s="3">
        <v>42618</v>
      </c>
      <c r="D1273" s="3">
        <v>42618</v>
      </c>
      <c r="E1273" s="3">
        <v>42626</v>
      </c>
      <c r="F1273" s="3"/>
      <c r="G1273">
        <v>4410.8999999999996</v>
      </c>
      <c r="H1273">
        <v>5116.6400000000003</v>
      </c>
      <c r="I1273">
        <v>3</v>
      </c>
    </row>
    <row r="1274" spans="1:9" x14ac:dyDescent="0.2">
      <c r="A1274" t="s">
        <v>41</v>
      </c>
      <c r="B1274" t="s">
        <v>10</v>
      </c>
      <c r="C1274" s="3">
        <v>42618</v>
      </c>
      <c r="D1274" s="3">
        <v>42618</v>
      </c>
      <c r="E1274" s="3">
        <v>42626</v>
      </c>
      <c r="F1274" s="3"/>
      <c r="G1274">
        <v>1225.25</v>
      </c>
      <c r="H1274">
        <v>1421.29</v>
      </c>
      <c r="I1274">
        <v>3</v>
      </c>
    </row>
    <row r="1275" spans="1:9" x14ac:dyDescent="0.2">
      <c r="A1275" t="s">
        <v>41</v>
      </c>
      <c r="B1275" t="s">
        <v>10</v>
      </c>
      <c r="C1275" s="3">
        <v>42618</v>
      </c>
      <c r="D1275" s="3">
        <v>42618</v>
      </c>
      <c r="E1275" s="3">
        <v>42626</v>
      </c>
      <c r="F1275" s="3"/>
      <c r="G1275">
        <v>34146.699999999997</v>
      </c>
      <c r="H1275">
        <v>39610.199999999997</v>
      </c>
      <c r="I1275">
        <v>3</v>
      </c>
    </row>
    <row r="1276" spans="1:9" x14ac:dyDescent="0.2">
      <c r="A1276" t="s">
        <v>25</v>
      </c>
      <c r="B1276" t="s">
        <v>10</v>
      </c>
      <c r="C1276" s="3">
        <v>42614</v>
      </c>
      <c r="D1276" s="3">
        <v>42614</v>
      </c>
      <c r="E1276" s="3">
        <v>42644</v>
      </c>
      <c r="F1276" s="3"/>
      <c r="G1276">
        <v>14066</v>
      </c>
      <c r="H1276">
        <v>16316.5</v>
      </c>
      <c r="I1276">
        <v>3</v>
      </c>
    </row>
    <row r="1277" spans="1:9" x14ac:dyDescent="0.2">
      <c r="A1277" t="s">
        <v>73</v>
      </c>
      <c r="B1277" t="s">
        <v>10</v>
      </c>
      <c r="C1277" s="3">
        <v>42613</v>
      </c>
      <c r="D1277" s="3">
        <v>42613</v>
      </c>
      <c r="E1277" s="3">
        <v>42628</v>
      </c>
      <c r="F1277" s="3"/>
      <c r="G1277">
        <v>613</v>
      </c>
      <c r="H1277">
        <v>711.08</v>
      </c>
      <c r="I1277">
        <v>1</v>
      </c>
    </row>
    <row r="1278" spans="1:9" x14ac:dyDescent="0.2">
      <c r="A1278" t="s">
        <v>73</v>
      </c>
      <c r="B1278" t="s">
        <v>10</v>
      </c>
      <c r="C1278" s="3">
        <v>42612</v>
      </c>
      <c r="D1278" s="3">
        <v>42612</v>
      </c>
      <c r="E1278" s="3">
        <v>42627</v>
      </c>
      <c r="F1278" s="3"/>
      <c r="G1278">
        <v>4384</v>
      </c>
      <c r="H1278">
        <v>5085.4399999999996</v>
      </c>
      <c r="I1278">
        <v>3</v>
      </c>
    </row>
    <row r="1279" spans="1:9" x14ac:dyDescent="0.2">
      <c r="A1279" t="s">
        <v>41</v>
      </c>
      <c r="B1279" t="s">
        <v>10</v>
      </c>
      <c r="C1279" s="3">
        <v>42608</v>
      </c>
      <c r="D1279" s="3">
        <v>42608</v>
      </c>
      <c r="E1279" s="3">
        <v>42616</v>
      </c>
      <c r="F1279" s="3"/>
      <c r="G1279">
        <v>39189.4</v>
      </c>
      <c r="H1279">
        <v>45459.8</v>
      </c>
      <c r="I1279">
        <v>3</v>
      </c>
    </row>
    <row r="1280" spans="1:9" x14ac:dyDescent="0.2">
      <c r="A1280" t="s">
        <v>41</v>
      </c>
      <c r="B1280" t="s">
        <v>10</v>
      </c>
      <c r="C1280" s="3">
        <v>42608</v>
      </c>
      <c r="D1280" s="3">
        <v>42608</v>
      </c>
      <c r="E1280" s="3">
        <v>42616</v>
      </c>
      <c r="F1280" s="3"/>
      <c r="G1280">
        <v>28670</v>
      </c>
      <c r="H1280">
        <v>33257.199999999997</v>
      </c>
      <c r="I1280">
        <v>3</v>
      </c>
    </row>
    <row r="1281" spans="1:9" x14ac:dyDescent="0.2">
      <c r="A1281" t="s">
        <v>25</v>
      </c>
      <c r="B1281" t="s">
        <v>10</v>
      </c>
      <c r="C1281" s="3">
        <v>42606</v>
      </c>
      <c r="D1281" s="3">
        <v>42606</v>
      </c>
      <c r="E1281" s="3">
        <v>42636</v>
      </c>
      <c r="F1281" s="3"/>
      <c r="G1281">
        <v>13720</v>
      </c>
      <c r="H1281">
        <v>15915.2</v>
      </c>
      <c r="I1281">
        <v>3</v>
      </c>
    </row>
    <row r="1282" spans="1:9" x14ac:dyDescent="0.2">
      <c r="A1282" t="s">
        <v>25</v>
      </c>
      <c r="B1282" t="s">
        <v>10</v>
      </c>
      <c r="C1282" s="3">
        <v>42605</v>
      </c>
      <c r="D1282" s="3">
        <v>42605</v>
      </c>
      <c r="E1282" s="3">
        <v>42635</v>
      </c>
      <c r="F1282" s="3"/>
      <c r="G1282">
        <v>23427</v>
      </c>
      <c r="H1282">
        <v>27175.3</v>
      </c>
      <c r="I1282">
        <v>3</v>
      </c>
    </row>
    <row r="1283" spans="1:9" x14ac:dyDescent="0.2">
      <c r="A1283" t="s">
        <v>41</v>
      </c>
      <c r="B1283" t="s">
        <v>10</v>
      </c>
      <c r="C1283" s="3">
        <v>42604</v>
      </c>
      <c r="D1283" s="3">
        <v>42604</v>
      </c>
      <c r="E1283" s="3">
        <v>42612</v>
      </c>
      <c r="F1283" s="3"/>
      <c r="G1283">
        <v>9786.4500000000007</v>
      </c>
      <c r="H1283">
        <v>11352.2</v>
      </c>
      <c r="I1283">
        <v>3</v>
      </c>
    </row>
    <row r="1284" spans="1:9" x14ac:dyDescent="0.2">
      <c r="G1284">
        <f>SUM(G2:G1283)</f>
        <v>25818618.239999954</v>
      </c>
      <c r="H1284">
        <f>SUM(H2:H1283)</f>
        <v>29837888.800000031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B0CA6-C825-5D44-8B0F-59FFDCDCD4DE}">
  <dimension ref="A1:B32"/>
  <sheetViews>
    <sheetView topLeftCell="D4" zoomScale="232" workbookViewId="0"/>
  </sheetViews>
  <sheetFormatPr baseColWidth="10" defaultRowHeight="15" x14ac:dyDescent="0.2"/>
  <cols>
    <col min="1" max="1" width="41.5" bestFit="1" customWidth="1"/>
    <col min="2" max="2" width="17.5" bestFit="1" customWidth="1"/>
    <col min="3" max="3" width="10.1640625" bestFit="1" customWidth="1"/>
    <col min="4" max="4" width="11.1640625" bestFit="1" customWidth="1"/>
    <col min="5" max="5" width="8.33203125" bestFit="1" customWidth="1"/>
    <col min="6" max="6" width="9.1640625" bestFit="1" customWidth="1"/>
    <col min="7" max="7" width="11.1640625" bestFit="1" customWidth="1"/>
    <col min="8" max="8" width="8.5" bestFit="1" customWidth="1"/>
    <col min="9" max="9" width="12.1640625" bestFit="1" customWidth="1"/>
    <col min="10" max="10" width="9.1640625" bestFit="1" customWidth="1"/>
    <col min="11" max="11" width="9.6640625" bestFit="1" customWidth="1"/>
    <col min="12" max="12" width="11.1640625" bestFit="1" customWidth="1"/>
  </cols>
  <sheetData>
    <row r="1" spans="1:2" x14ac:dyDescent="0.2">
      <c r="A1" s="4" t="s">
        <v>8</v>
      </c>
      <c r="B1" t="s">
        <v>80</v>
      </c>
    </row>
    <row r="3" spans="1:2" x14ac:dyDescent="0.2">
      <c r="A3" s="4" t="s">
        <v>74</v>
      </c>
      <c r="B3" t="s">
        <v>76</v>
      </c>
    </row>
    <row r="4" spans="1:2" x14ac:dyDescent="0.2">
      <c r="A4" s="5" t="s">
        <v>66</v>
      </c>
      <c r="B4" s="6">
        <v>3876.72</v>
      </c>
    </row>
    <row r="5" spans="1:2" x14ac:dyDescent="0.2">
      <c r="A5" s="5" t="s">
        <v>43</v>
      </c>
      <c r="B5" s="6">
        <v>5051.7999999999993</v>
      </c>
    </row>
    <row r="6" spans="1:2" x14ac:dyDescent="0.2">
      <c r="A6" s="5" t="s">
        <v>18</v>
      </c>
      <c r="B6" s="6">
        <v>2154625.64</v>
      </c>
    </row>
    <row r="7" spans="1:2" x14ac:dyDescent="0.2">
      <c r="A7" s="5" t="s">
        <v>9</v>
      </c>
      <c r="B7" s="6">
        <v>18423.099999999999</v>
      </c>
    </row>
    <row r="8" spans="1:2" x14ac:dyDescent="0.2">
      <c r="A8" s="5" t="s">
        <v>57</v>
      </c>
      <c r="B8" s="6">
        <v>30577.599999999999</v>
      </c>
    </row>
    <row r="9" spans="1:2" x14ac:dyDescent="0.2">
      <c r="A9" s="5" t="s">
        <v>13</v>
      </c>
      <c r="B9" s="6">
        <v>273086.86</v>
      </c>
    </row>
    <row r="10" spans="1:2" x14ac:dyDescent="0.2">
      <c r="A10" s="5" t="s">
        <v>73</v>
      </c>
      <c r="B10" s="6">
        <v>5085.4399999999996</v>
      </c>
    </row>
    <row r="11" spans="1:2" x14ac:dyDescent="0.2">
      <c r="A11" s="5" t="s">
        <v>69</v>
      </c>
      <c r="B11" s="6">
        <v>4721.2</v>
      </c>
    </row>
    <row r="12" spans="1:2" x14ac:dyDescent="0.2">
      <c r="A12" s="5" t="s">
        <v>54</v>
      </c>
      <c r="B12" s="6">
        <v>10761.689999999999</v>
      </c>
    </row>
    <row r="13" spans="1:2" x14ac:dyDescent="0.2">
      <c r="A13" s="5" t="s">
        <v>24</v>
      </c>
      <c r="B13" s="6">
        <v>2204</v>
      </c>
    </row>
    <row r="14" spans="1:2" x14ac:dyDescent="0.2">
      <c r="A14" s="5" t="s">
        <v>36</v>
      </c>
      <c r="B14" s="6">
        <v>38571.160000000003</v>
      </c>
    </row>
    <row r="15" spans="1:2" x14ac:dyDescent="0.2">
      <c r="A15" s="5" t="s">
        <v>64</v>
      </c>
      <c r="B15" s="6">
        <v>8097.96</v>
      </c>
    </row>
    <row r="16" spans="1:2" x14ac:dyDescent="0.2">
      <c r="A16" s="5" t="s">
        <v>40</v>
      </c>
      <c r="B16" s="6">
        <v>98449.2</v>
      </c>
    </row>
    <row r="17" spans="1:2" x14ac:dyDescent="0.2">
      <c r="A17" s="5" t="s">
        <v>59</v>
      </c>
      <c r="B17" s="6">
        <v>6844</v>
      </c>
    </row>
    <row r="18" spans="1:2" x14ac:dyDescent="0.2">
      <c r="A18" s="5" t="s">
        <v>41</v>
      </c>
      <c r="B18" s="6">
        <v>3441480.9900000012</v>
      </c>
    </row>
    <row r="19" spans="1:2" x14ac:dyDescent="0.2">
      <c r="A19" s="5" t="s">
        <v>25</v>
      </c>
      <c r="B19" s="6">
        <v>503660.41999999993</v>
      </c>
    </row>
    <row r="20" spans="1:2" x14ac:dyDescent="0.2">
      <c r="A20" s="5" t="s">
        <v>61</v>
      </c>
      <c r="B20" s="6">
        <v>17316.400000000001</v>
      </c>
    </row>
    <row r="21" spans="1:2" x14ac:dyDescent="0.2">
      <c r="A21" s="5" t="s">
        <v>23</v>
      </c>
      <c r="B21" s="6">
        <v>6746.56</v>
      </c>
    </row>
    <row r="22" spans="1:2" x14ac:dyDescent="0.2">
      <c r="A22" s="5" t="s">
        <v>20</v>
      </c>
      <c r="B22" s="6">
        <v>452901.89999999997</v>
      </c>
    </row>
    <row r="23" spans="1:2" x14ac:dyDescent="0.2">
      <c r="A23" s="5" t="s">
        <v>39</v>
      </c>
      <c r="B23" s="6">
        <v>30699.489999999998</v>
      </c>
    </row>
    <row r="24" spans="1:2" x14ac:dyDescent="0.2">
      <c r="A24" s="5" t="s">
        <v>55</v>
      </c>
      <c r="B24" s="6">
        <v>5303.52</v>
      </c>
    </row>
    <row r="25" spans="1:2" x14ac:dyDescent="0.2">
      <c r="A25" s="5" t="s">
        <v>26</v>
      </c>
      <c r="B25" s="6">
        <v>1530425.01</v>
      </c>
    </row>
    <row r="26" spans="1:2" x14ac:dyDescent="0.2">
      <c r="A26" s="5" t="s">
        <v>17</v>
      </c>
      <c r="B26" s="6">
        <v>67518.899999999994</v>
      </c>
    </row>
    <row r="27" spans="1:2" x14ac:dyDescent="0.2">
      <c r="A27" s="5" t="s">
        <v>67</v>
      </c>
      <c r="B27" s="6">
        <v>28025.599999999999</v>
      </c>
    </row>
    <row r="28" spans="1:2" x14ac:dyDescent="0.2">
      <c r="A28" s="5" t="s">
        <v>53</v>
      </c>
      <c r="B28" s="6">
        <v>11460.8</v>
      </c>
    </row>
    <row r="29" spans="1:2" x14ac:dyDescent="0.2">
      <c r="A29" s="5" t="s">
        <v>63</v>
      </c>
      <c r="B29" s="6">
        <v>28184.5</v>
      </c>
    </row>
    <row r="30" spans="1:2" x14ac:dyDescent="0.2">
      <c r="A30" s="5" t="s">
        <v>22</v>
      </c>
      <c r="B30" s="6">
        <v>911427.57999999973</v>
      </c>
    </row>
    <row r="31" spans="1:2" x14ac:dyDescent="0.2">
      <c r="A31" s="5" t="s">
        <v>46</v>
      </c>
      <c r="B31" s="6">
        <v>88690.069999999992</v>
      </c>
    </row>
    <row r="32" spans="1:2" x14ac:dyDescent="0.2">
      <c r="A32" s="5" t="s">
        <v>75</v>
      </c>
      <c r="B32" s="6">
        <v>9784218.1100000031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de datos</vt:lpstr>
      <vt:lpstr>Porcentaje venta x cliente</vt:lpstr>
      <vt:lpstr>Metodos de pago</vt:lpstr>
      <vt:lpstr>Facturas emitidas</vt:lpstr>
      <vt:lpstr>Graficos Facturas emitidas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Aviles</cp:lastModifiedBy>
  <dcterms:created xsi:type="dcterms:W3CDTF">2019-08-22T14:13:34Z</dcterms:created>
  <dcterms:modified xsi:type="dcterms:W3CDTF">2019-08-27T16:33:28Z</dcterms:modified>
</cp:coreProperties>
</file>